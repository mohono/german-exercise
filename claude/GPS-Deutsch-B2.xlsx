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اشبورد" sheetId="1" r:id="rId5"/>
    <sheet state="visible" name="ورود روزانه" sheetId="2" r:id="rId6"/>
    <sheet state="visible" name="هفتگی" sheetId="3" r:id="rId7"/>
    <sheet state="visible" name="ماهانه" sheetId="4" r:id="rId8"/>
    <sheet state="visible" name="آزمون ماک" sheetId="5" r:id="rId9"/>
    <sheet state="visible" name="لکسیون" sheetId="6" r:id="rId10"/>
    <sheet state="visible" name="نقشه راه" sheetId="7" r:id="rId11"/>
    <sheet state="visible" name="سهم مهارت‌ها" sheetId="8" r:id="rId12"/>
    <sheet state="visible" name="قواعد" sheetId="9" r:id="rId13"/>
  </sheets>
  <definedNames>
    <definedName hidden="1" localSheetId="1" name="_xlnm._FilterDatabase">'ورود روزانه'!$A$2:$Z$198</definedName>
    <definedName hidden="1" localSheetId="5" name="_xlnm._FilterDatabase">'لکسیون'!$A$2:$K$82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دولینگو، یوتیوب، تمرین شخصی — هرچه بیرون از بلاک‌ها بوده. در «٪ اجرای برنامه» حساب نمی‌شود.</t>
      </text>
    </comment>
    <comment authorId="0" ref="F14">
      <text>
        <t xml:space="preserve">اگر از ۴ رد شد یعنی داری عقب می‌افتی.</t>
      </text>
    </comment>
  </commentList>
</comments>
</file>

<file path=xl/sharedStrings.xml><?xml version="1.0" encoding="utf-8"?>
<sst xmlns="http://schemas.openxmlformats.org/spreadsheetml/2006/main" count="1072" uniqueCount="575">
  <si>
    <t>همه‌ی عددهای خاکستری خودکار از «ورود روزانه» می‌آیند. فقط سه ستون آخر را خودت می‌نویسی — جمعه شب، پنج دقیقه. هدف هفتگی: ۱۵۳۰ دقیقه (۲۵۵ × ۶ روز).</t>
  </si>
  <si>
    <t>همه‌چیز خودکار از «ورود روزانه». فقط ستون آخر را آخر هر ماه خودت می‌نویسی.</t>
  </si>
  <si>
    <t>این تنها برگه‌ای است که هر شب پر می‌کنی. در ستون‌های آبی و سبز عدد ۱ بگذار. «دقیقه‌ی اضافه» برای کارهای بیرون از برنامه است: دولینگو، یوتیوب، تمرین شخصی. ستون‌های خاکستری خودکارند — دستشان نزن. برگه‌های «هفتگی» و «ماهانه» خودشان از همین‌جا جمع می‌زنند.</t>
  </si>
  <si>
    <t>سیستم GPS — آلمانی تا ÖSD Zertifikat B2</t>
  </si>
  <si>
    <t>ورود اطلاعات فقط در برگه‌ی «ورود روزانه». این صفحه و برگه‌های هفتگی و ماهانه خودکارند.</t>
  </si>
  <si>
    <t>ماه</t>
  </si>
  <si>
    <t>هفته</t>
  </si>
  <si>
    <t>تنظیمات — فقط این چهار خانه</t>
  </si>
  <si>
    <t>تاریخ</t>
  </si>
  <si>
    <t>از</t>
  </si>
  <si>
    <t>تا</t>
  </si>
  <si>
    <t>روز</t>
  </si>
  <si>
    <t>دقیقه</t>
  </si>
  <si>
    <t>ساعت</t>
  </si>
  <si>
    <t>شمسی</t>
  </si>
  <si>
    <t>٪ اجرا</t>
  </si>
  <si>
    <t>کف</t>
  </si>
  <si>
    <t>روز صفر</t>
  </si>
  <si>
    <t>مراقبت ٪</t>
  </si>
  <si>
    <t>واحد بسته</t>
  </si>
  <si>
    <t>فاز</t>
  </si>
  <si>
    <t>جمع تجمعی واحد</t>
  </si>
  <si>
    <t>تاریخ آزمون هدف</t>
  </si>
  <si>
    <t>① انکی
۳۰</t>
  </si>
  <si>
    <t>مرور ماه</t>
  </si>
  <si>
    <t>② مبحث جدید
۹۰</t>
  </si>
  <si>
    <t>تمرکز هفته</t>
  </si>
  <si>
    <t>دقیقه‌ی اضافه</t>
  </si>
  <si>
    <t>③ ورودی
۶۰</t>
  </si>
  <si>
    <t>کل ماه
ساعت</t>
  </si>
  <si>
    <t>④ خروجی
۶۰</t>
  </si>
  <si>
    <t>⑤ بستن روز
۱۵</t>
  </si>
  <si>
    <t>کف /۷</t>
  </si>
  <si>
    <t>ورزش</t>
  </si>
  <si>
    <t>مراقبت /۴۲</t>
  </si>
  <si>
    <t>پوست</t>
  </si>
  <si>
    <t>شهریور ۱۴۰۵</t>
  </si>
  <si>
    <t>مو</t>
  </si>
  <si>
    <t>وضعیت</t>
  </si>
  <si>
    <t>مسواک</t>
  </si>
  <si>
    <t>بردِ هفته</t>
  </si>
  <si>
    <t>تغذیه</t>
  </si>
  <si>
    <t>مشکل هفته</t>
  </si>
  <si>
    <t>آب</t>
  </si>
  <si>
    <t>مراقبت</t>
  </si>
  <si>
    <t>تصمیم هفته‌ی بعد</t>
  </si>
  <si>
    <t>هدف کل ساعت</t>
  </si>
  <si>
    <t>زنجیره</t>
  </si>
  <si>
    <t>کل هفته
ساعت</t>
  </si>
  <si>
    <t>واحد امروز</t>
  </si>
  <si>
    <t>کجا گیر کردم</t>
  </si>
  <si>
    <t>برنامه‌ی فردا</t>
  </si>
  <si>
    <t>چی بود</t>
  </si>
  <si>
    <t>سقف دقیقه در روز</t>
  </si>
  <si>
    <t>تعداد کل واحدها</t>
  </si>
  <si>
    <t>وضعیت کلان</t>
  </si>
  <si>
    <t>روز باقی‌مانده تا آزمون</t>
  </si>
  <si>
    <t>15 شهریور</t>
  </si>
  <si>
    <t>یک‌شنبه</t>
  </si>
  <si>
    <t>میشل توماس ۶، ۷، ۸ و ۹ · موازی: Perfekt</t>
  </si>
  <si>
    <t>کل ساعت انجام‌شده</t>
  </si>
  <si>
    <t>هفته‌ی چندم از ۲۸</t>
  </si>
  <si>
    <t>٪ نسبت به هدف ساعت</t>
  </si>
  <si>
    <t>فاز فعلی</t>
  </si>
  <si>
    <t>از این به بعد لازم: ساعت در روز</t>
  </si>
  <si>
    <t>16 شهریور</t>
  </si>
  <si>
    <t>دوشنبه</t>
  </si>
  <si>
    <t>تمرکز این هفته</t>
  </si>
  <si>
    <t>درس ۶ دوره تماشا شد. جزوه برای کلاد آپلود شد و بلوک‌بندی کرد. ۵ بلوک از ۱۰ بلوکش خوانده و جمع‌بندی شد.</t>
  </si>
  <si>
    <t>همه چیز در فایل جمع‌بندی درخواستی از کلاد موجوده. پایان ۵ بلوک</t>
  </si>
  <si>
    <t>بررسی و ادامه بلوک‌های دیگر و جمع‌بندی آن‌ها، مرور امروز، دولینگو، استارت درس ۷</t>
  </si>
  <si>
    <t>17 شهریور</t>
  </si>
  <si>
    <t>سه‌شنبه</t>
  </si>
  <si>
    <t>واحدهای بسته‌شده</t>
  </si>
  <si>
    <t>استریک کف روزانه</t>
  </si>
  <si>
    <t>همه‌ی بلوک‌های درس ۶ کامل شدند و جمع‌بندی انجام شد</t>
  </si>
  <si>
    <t>شروع درس ۷. مرور جزوه‌ها. روش میشل توماس.</t>
  </si>
  <si>
    <t>18 شهریور</t>
  </si>
  <si>
    <t>چهارشنبه</t>
  </si>
  <si>
    <t>کشف دو سیرن جدید. پیدا کردن skill برای کلاد</t>
  </si>
  <si>
    <t>گوش دادن به بعضی سیرن‌ها. نداشتن نظم برای کارهای خودمراقبتی. عدم اتمام برنامه‌ی درخواستی</t>
  </si>
  <si>
    <t>توی این هفته قول می‌دهم درس ۷ و ۸ و ۹ و ۱۰ و ۱۱ را تمام کنم. بی‌چون‌وچرا</t>
  </si>
  <si>
    <t>سرعت لازم — واحد در هفته</t>
  </si>
  <si>
    <t>درس ۷ از دوره تماشا شد. درس ۶ و ۷ با روش میشل توماس مرور شد. پس از آپلود جزوه، ۲ بلوک از بلوک‌های کلاد انجام شد</t>
  </si>
  <si>
    <t>امشب مهمانی دعوت شدیم. برنامه‌ریزی از دستم در رفت — برنامه‌ی فردا را ننوشتم و اطلاعات چهارشنبه را فردا وارد کردم</t>
  </si>
  <si>
    <t>19 شهریور</t>
  </si>
  <si>
    <t>پنج‌شنبه</t>
  </si>
  <si>
    <t>هیچی، فقط دولینگو</t>
  </si>
  <si>
    <t>تایم ناخن، خرید صبح، چت عصر و وقت گذراندن آخر هفته</t>
  </si>
  <si>
    <t>این هفته</t>
  </si>
  <si>
    <t>میشل توماس ۱۰ و ۱۱ + امتحان نهایی + آرتیکل ۱ · موازی: Präteritum و Plusquamperfekt</t>
  </si>
  <si>
    <t>مهر ۱۴۰۵</t>
  </si>
  <si>
    <t>20 شهریور</t>
  </si>
  <si>
    <t>جمعه</t>
  </si>
  <si>
    <t>خودمراقبتی از ۴۲</t>
  </si>
  <si>
    <t>توی جمع‌بندی پیداش کن</t>
  </si>
  <si>
    <t>مرور. بستن درس ۷. شروع درس ۸ و آپلود جزوه و باقی داستان</t>
  </si>
  <si>
    <t>21 شهریور</t>
  </si>
  <si>
    <t>شنبه</t>
  </si>
  <si>
    <t>٪ اجرای برنامه</t>
  </si>
  <si>
    <t xml:space="preserve"> </t>
  </si>
  <si>
    <t>22 شهریور</t>
  </si>
  <si>
    <t>واحد بسته‌شده این هفته</t>
  </si>
  <si>
    <t>کف روزانه از ۷</t>
  </si>
  <si>
    <t>وضعیت هفته</t>
  </si>
  <si>
    <t>امروز فایل های جمع بندی رو نگاه کردم و مشکلاتی ک توشون گیر بودم از کلاد پرسیدم</t>
  </si>
  <si>
    <t>صرف افعال-صرف اشخاص-افعال گذشته-هفت گانه متفاوت-</t>
  </si>
  <si>
    <t>سیرن جدید: پذیرفتن دعوت ناگهانی- گوش دادن به احساس یکم دیگه بخواب- پشت گوش انداختن مرور</t>
  </si>
  <si>
    <t>شروع درس 8 با کلاد- مرور-تمرین افعال گذشته و صرفشون و چیزایی ک توی دوتا فایل جمع بندی مشکل داشتی</t>
  </si>
  <si>
    <t>23 شهریور</t>
  </si>
  <si>
    <t>این ماه</t>
  </si>
  <si>
    <t>ساعت این ماه</t>
  </si>
  <si>
    <t>اپلود درس 8 و خواندن 4 بلوک از 12</t>
  </si>
  <si>
    <t>توی فایل جمع بندی هست. احساس مریضی داشتم و استراحت کردم</t>
  </si>
  <si>
    <t>24 شهریور</t>
  </si>
  <si>
    <t>آبان ۱۴۰۵</t>
  </si>
  <si>
    <t>آرتیکل ۲، ۳ و ۴ + پیش‌نیازهای مهم · موازی: تمرین Akkusativ و Dativ</t>
  </si>
  <si>
    <t>روزهای صفر این ماه</t>
  </si>
  <si>
    <t>فقط بزور اخر شب مرور و انجام دادم</t>
  </si>
  <si>
    <t>یه دعوای بد با پارتنرم داشتیم ک کل روزو گرفت.</t>
  </si>
  <si>
    <t>25 شهریور</t>
  </si>
  <si>
    <t>٪ اجرای ماه</t>
  </si>
  <si>
    <t>اتمام درس 8. دریافت فایل جمع بندی.</t>
  </si>
  <si>
    <t>لغات زیادی داشت اطشون انکی درست کن</t>
  </si>
  <si>
    <t>مرور-شروع درس 9-اپلود جزوه و شروع با کلاد</t>
  </si>
  <si>
    <t>26 شهریور</t>
  </si>
  <si>
    <t>واحد بسته‌شده این ماه</t>
  </si>
  <si>
    <t>برنامه کف رو اجرا کردم امروز.</t>
  </si>
  <si>
    <t>مهمونی دعوت شدم و وسوسه شدم که با دوستام بیرون برم.</t>
  </si>
  <si>
    <t>پلنی نتونستم بزارم چون این بخش رو شنبه پر کردم.</t>
  </si>
  <si>
    <t>27 شهریور</t>
  </si>
  <si>
    <t>چهار مهارت — آخرین ماک</t>
  </si>
  <si>
    <t>مهارت</t>
  </si>
  <si>
    <t>حروف اضافه هندسی · سه حرکت اساسی · گنتیو · ضمایر موصولی · صرف صفت · ★ ماک A2</t>
  </si>
  <si>
    <t>ببرنامه کف رو سعی کردم تا حدی اجرا کنم.</t>
  </si>
  <si>
    <t>نمره</t>
  </si>
  <si>
    <t>مهمونی دعوت بودیم اما من تنبلی کردم و پایبند برنامه نبودم ک درست اجراش کنم</t>
  </si>
  <si>
    <t>مرز ۶۰٪</t>
  </si>
  <si>
    <t>28 شهریور</t>
  </si>
  <si>
    <t>Lesen — خواندن</t>
  </si>
  <si>
    <t>آذر ۱۴۰۵</t>
  </si>
  <si>
    <t xml:space="preserve">درس 9 رو از دوره نگاه کردم برای کلاد اپلود کردم. </t>
  </si>
  <si>
    <t>باید اون چیزایی ک کلاد گفته و خودم جمع بندی کردم مثل صرف افعال و باقی چیزا رو قبل از استارت درس 9 اوکی کنم</t>
  </si>
  <si>
    <t>اوکی کردن اون چیزایی ک توشون گیرم و کلاد اشاره کرد و با چیزاییکه خودم یادداشت کردم و جلو بردن درس 9</t>
  </si>
  <si>
    <t>29 شهریور</t>
  </si>
  <si>
    <t>انکی فایل های مرور رو ساختم. خیلی بهش احتیاج داشتم.</t>
  </si>
  <si>
    <t>توی مرور فایل ها مشکل داشتم برای همین باید فلش کارتشو میساختم</t>
  </si>
  <si>
    <t>استارت درس 9 باکلاد. مرور انکی های ساخته شده</t>
  </si>
  <si>
    <t>30 شهریور</t>
  </si>
  <si>
    <t>Hören — شنیدن</t>
  </si>
  <si>
    <t>انکی کارت هارو خوندم. امروز روز کفم بود.</t>
  </si>
  <si>
    <t>31 شهریور</t>
  </si>
  <si>
    <t>Schreiben — نوشتن</t>
  </si>
  <si>
    <t>1 مهر</t>
  </si>
  <si>
    <t>فاز ۲ درس ۱ تا ۳ · موازی: افعال با حرف اضافه‌ی ثابت · da-/wo-</t>
  </si>
  <si>
    <t>Sprechen — گفتن</t>
  </si>
  <si>
    <t>دی ۱۴۰۵</t>
  </si>
  <si>
    <t>2 مهر</t>
  </si>
  <si>
    <t>مجموع ماژول کتبی</t>
  </si>
  <si>
    <t>3 مهر</t>
  </si>
  <si>
    <t>ساعت اضافه — کل</t>
  </si>
  <si>
    <t>4 مهر</t>
  </si>
  <si>
    <t>فاز ۲ درس ۴ تا ۶ · موازی: شروع Schreiben هفتگی</t>
  </si>
  <si>
    <t>ساعت کل (برنامه + اضافه)</t>
  </si>
  <si>
    <t>5 مهر</t>
  </si>
  <si>
    <t>6 مهر</t>
  </si>
  <si>
    <t>بهمن ۱۴۰۵</t>
  </si>
  <si>
    <t>7 مهر</t>
  </si>
  <si>
    <t>8 مهر</t>
  </si>
  <si>
    <t>فاز ۲ درس ۷ تا ۹ · موازی: Konjunktiv II</t>
  </si>
  <si>
    <t>9 مهر</t>
  </si>
  <si>
    <t>10 مهر</t>
  </si>
  <si>
    <t>11 مهر</t>
  </si>
  <si>
    <t>اسفند ۱۴۰۵</t>
  </si>
  <si>
    <t>12 مهر</t>
  </si>
  <si>
    <t>13 مهر</t>
  </si>
  <si>
    <t>فاز ۲ درس ۱۰ تا ۱۲ · موازی: درخواست مؤدبانه و نامه‌ی نیمه‌رسمی</t>
  </si>
  <si>
    <t>14 مهر</t>
  </si>
  <si>
    <t>15 مهر</t>
  </si>
  <si>
    <t>16 مهر</t>
  </si>
  <si>
    <t>17 مهر</t>
  </si>
  <si>
    <t>18 مهر</t>
  </si>
  <si>
    <t>19 مهر</t>
  </si>
  <si>
    <t>فاز ۲ درس ۱۳ تا ۱۵ · موازی: obwohl، damit، um…zu</t>
  </si>
  <si>
    <t>20 مهر</t>
  </si>
  <si>
    <t>21 مهر</t>
  </si>
  <si>
    <t>22 مهر</t>
  </si>
  <si>
    <t>فاز ۲ درس ۱۶ تا ۱۸ · موازی: bevor، nachdem، seit</t>
  </si>
  <si>
    <t>23 مهر</t>
  </si>
  <si>
    <t>24 مهر</t>
  </si>
  <si>
    <t>25 مهر</t>
  </si>
  <si>
    <t>فاز ۲ درس ۱۹ و ۲۰ + افعال مجهول · ★ ماک B1</t>
  </si>
  <si>
    <t>26 مهر</t>
  </si>
  <si>
    <t>27 مهر</t>
  </si>
  <si>
    <t>28 مهر</t>
  </si>
  <si>
    <t>29 مهر</t>
  </si>
  <si>
    <t>30 مهر</t>
  </si>
  <si>
    <t>فاز ۳ درس ۱ تا ۳ · موازی: مجهول با مدال · Konnektoren پیشرفته</t>
  </si>
  <si>
    <t>1 آبان</t>
  </si>
  <si>
    <t>2 آبان</t>
  </si>
  <si>
    <t>3 آبان</t>
  </si>
  <si>
    <t>4 آبان</t>
  </si>
  <si>
    <t>فاز ۳ درس ۴ تا ۶ · موازی: Nominalisierung و Verbalisierung</t>
  </si>
  <si>
    <t>5 آبان</t>
  </si>
  <si>
    <t>6 آبان</t>
  </si>
  <si>
    <t>7 آبان</t>
  </si>
  <si>
    <t>8 آبان</t>
  </si>
  <si>
    <t>9 آبان</t>
  </si>
  <si>
    <t>فاز ۳ درس ۷ تا ۹ · موازی: Partizipialattribute</t>
  </si>
  <si>
    <t>10 آبان</t>
  </si>
  <si>
    <t>11 آبان</t>
  </si>
  <si>
    <t>12 آبان</t>
  </si>
  <si>
    <t>13 آبان</t>
  </si>
  <si>
    <t>14 آبان</t>
  </si>
  <si>
    <t>فاز ۳ درس ۱۰ تا ۱۲ · موازی: جایگزین‌های مجهول</t>
  </si>
  <si>
    <t>15 آبان</t>
  </si>
  <si>
    <t>16 آبان</t>
  </si>
  <si>
    <t>17 آبان</t>
  </si>
  <si>
    <t>18 آبان</t>
  </si>
  <si>
    <t>فاز ۳ درس ۱۳ تا ۱۵ · موازی: Konjunktiv I و نقل قول غیرمستقیم</t>
  </si>
  <si>
    <t>19 آبان</t>
  </si>
  <si>
    <t>20 آبان</t>
  </si>
  <si>
    <t>21 آبان</t>
  </si>
  <si>
    <t>22 آبان</t>
  </si>
  <si>
    <t>فاز ۳ درس ۱۶ تا ۱۸ · موازی: Konjunktiv II گذشته</t>
  </si>
  <si>
    <t>23 آبان</t>
  </si>
  <si>
    <t>24 آبان</t>
  </si>
  <si>
    <t>25 آبان</t>
  </si>
  <si>
    <t>26 آبان</t>
  </si>
  <si>
    <t>مرور کل B2 · ★ ماک کامل ÖSD B2 — نقطه‌ی تصمیم</t>
  </si>
  <si>
    <t>27 آبان</t>
  </si>
  <si>
    <t>28 آبان</t>
  </si>
  <si>
    <t>29 آبان</t>
  </si>
  <si>
    <t>30 آبان</t>
  </si>
  <si>
    <t>فاز ۴ درس ۱ تا ۳ · موازی: ساختار Erörterung</t>
  </si>
  <si>
    <t>1 آذر</t>
  </si>
  <si>
    <t>2 آذر</t>
  </si>
  <si>
    <t>3 آذر</t>
  </si>
  <si>
    <t>4 آذر</t>
  </si>
  <si>
    <t>فاز ۴ درس ۴ تا ۶ · موازی: Erörterung هفتگی با تصحیح</t>
  </si>
  <si>
    <t>5 آذر</t>
  </si>
  <si>
    <t>6 آذر</t>
  </si>
  <si>
    <t>7 آذر</t>
  </si>
  <si>
    <t>8 آذر</t>
  </si>
  <si>
    <t>فاز ۴ درس ۷ تا ۹ · موازی: Sprechen تسک ۱</t>
  </si>
  <si>
    <t>9 آذر</t>
  </si>
  <si>
    <t>10 آذر</t>
  </si>
  <si>
    <t>11 آذر</t>
  </si>
  <si>
    <t>فاز ۴ درس ۱۰ تا ۱۲ · موازی: Sprechen تسک ۲</t>
  </si>
  <si>
    <t>12 آذر</t>
  </si>
  <si>
    <t>13 آذر</t>
  </si>
  <si>
    <t>14 آذر</t>
  </si>
  <si>
    <t>15 آذر</t>
  </si>
  <si>
    <t>فاز ۴ درس ۱۳ تا ۱۵ · موازی: Sprechen تسک ۳</t>
  </si>
  <si>
    <t>16 آذر</t>
  </si>
  <si>
    <t>17 آذر</t>
  </si>
  <si>
    <t>18 آذر</t>
  </si>
  <si>
    <t>19 آذر</t>
  </si>
  <si>
    <t>فاز ۴ درس ۱۶ تا ۱۸ · موازی: collocation و اصطلاحات B2</t>
  </si>
  <si>
    <t>20 آذر</t>
  </si>
  <si>
    <t>21 آذر</t>
  </si>
  <si>
    <t>22 آذر</t>
  </si>
  <si>
    <t>23 آذر</t>
  </si>
  <si>
    <t>24 آذر</t>
  </si>
  <si>
    <t>فاز ۴ درس ۱۹ و ۲۰ · ★ ماک کامل دوم</t>
  </si>
  <si>
    <t>25 آذر</t>
  </si>
  <si>
    <t>26 آذر</t>
  </si>
  <si>
    <t>27 آذر</t>
  </si>
  <si>
    <t>28 آذر</t>
  </si>
  <si>
    <t>ماک کامل ۳ · تحلیل خطا · مدیریت زمان Lesen</t>
  </si>
  <si>
    <t>29 آذر</t>
  </si>
  <si>
    <t>30 آذر</t>
  </si>
  <si>
    <t>1 دی</t>
  </si>
  <si>
    <t>2 دی</t>
  </si>
  <si>
    <t>3 دی</t>
  </si>
  <si>
    <t>ماک کامل ۴ · قالب‌های Schreiben · Sprechen فشرده</t>
  </si>
  <si>
    <t>4 دی</t>
  </si>
  <si>
    <t>5 دی</t>
  </si>
  <si>
    <t>6 دی</t>
  </si>
  <si>
    <t>7 دی</t>
  </si>
  <si>
    <t>مرور سبک · استراحت · ★ آزمون واقعی ÖSD B2</t>
  </si>
  <si>
    <t>8 دی</t>
  </si>
  <si>
    <t>9 دی</t>
  </si>
  <si>
    <t>بعد از هر ماک یک سطر پر کن. فقط ستون‌های زرد. مرز قبولی: ۴۲ از ۷۰ کتبی و ۱۸ از ۳۰ شفاهی.</t>
  </si>
  <si>
    <t>10 دی</t>
  </si>
  <si>
    <t>عنوان</t>
  </si>
  <si>
    <t>سطح</t>
  </si>
  <si>
    <t>Lesen /۲۰</t>
  </si>
  <si>
    <t>Hören /۲۰</t>
  </si>
  <si>
    <t>Schreiben /۳۰</t>
  </si>
  <si>
    <t>کتبی /۷۰</t>
  </si>
  <si>
    <t>وضعیت کتبی</t>
  </si>
  <si>
    <t>Sprechen /۳۰</t>
  </si>
  <si>
    <t>وضعیت شفاهی</t>
  </si>
  <si>
    <t>٪ کل</t>
  </si>
  <si>
    <t>مهم‌ترین خطاها</t>
  </si>
  <si>
    <t>11 دی</t>
  </si>
  <si>
    <t>12 دی</t>
  </si>
  <si>
    <t>13 دی</t>
  </si>
  <si>
    <t>14 دی</t>
  </si>
  <si>
    <t>15 دی</t>
  </si>
  <si>
    <t>16 دی</t>
  </si>
  <si>
    <t>17 دی</t>
  </si>
  <si>
    <t>18 دی</t>
  </si>
  <si>
    <t>19 دی</t>
  </si>
  <si>
    <t>20 دی</t>
  </si>
  <si>
    <t>21 دی</t>
  </si>
  <si>
    <t>22 دی</t>
  </si>
  <si>
    <t>23 دی</t>
  </si>
  <si>
    <t>24 دی</t>
  </si>
  <si>
    <t>25 دی</t>
  </si>
  <si>
    <t>26 دی</t>
  </si>
  <si>
    <t>27 دی</t>
  </si>
  <si>
    <t>28 دی</t>
  </si>
  <si>
    <t>29 دی</t>
  </si>
  <si>
    <t>30 دی</t>
  </si>
  <si>
    <t>1 بهمن</t>
  </si>
  <si>
    <t>2 بهمن</t>
  </si>
  <si>
    <t>3 بهمن</t>
  </si>
  <si>
    <t>4 بهمن</t>
  </si>
  <si>
    <t>5 بهمن</t>
  </si>
  <si>
    <t>6 بهمن</t>
  </si>
  <si>
    <t>7 بهمن</t>
  </si>
  <si>
    <t>8 بهمن</t>
  </si>
  <si>
    <t>9 بهمن</t>
  </si>
  <si>
    <t>10 بهمن</t>
  </si>
  <si>
    <t>11 بهمن</t>
  </si>
  <si>
    <t>12 بهمن</t>
  </si>
  <si>
    <t>13 بهمن</t>
  </si>
  <si>
    <t>14 بهمن</t>
  </si>
  <si>
    <t>15 بهمن</t>
  </si>
  <si>
    <t>16 بهمن</t>
  </si>
  <si>
    <t>17 بهمن</t>
  </si>
  <si>
    <t>18 بهمن</t>
  </si>
  <si>
    <t>19 بهمن</t>
  </si>
  <si>
    <t>20 بهمن</t>
  </si>
  <si>
    <t>21 بهمن</t>
  </si>
  <si>
    <t>22 بهمن</t>
  </si>
  <si>
    <t>23 بهمن</t>
  </si>
  <si>
    <t>24 بهمن</t>
  </si>
  <si>
    <t>25 بهمن</t>
  </si>
  <si>
    <t>26 بهمن</t>
  </si>
  <si>
    <t>27 بهمن</t>
  </si>
  <si>
    <t>28 بهمن</t>
  </si>
  <si>
    <t>29 بهمن</t>
  </si>
  <si>
    <t>30 بهمن</t>
  </si>
  <si>
    <t>1 اسفند</t>
  </si>
  <si>
    <t>2 اسفند</t>
  </si>
  <si>
    <t>3 اسفند</t>
  </si>
  <si>
    <t>4 اسفند</t>
  </si>
  <si>
    <t>5 اسفند</t>
  </si>
  <si>
    <t>6 اسفند</t>
  </si>
  <si>
    <t>7 اسفند</t>
  </si>
  <si>
    <t>8 اسفند</t>
  </si>
  <si>
    <t>9 اسفند</t>
  </si>
  <si>
    <t>10 اسفند</t>
  </si>
  <si>
    <t>11 اسفند</t>
  </si>
  <si>
    <t>12 اسفند</t>
  </si>
  <si>
    <t>13 اسفند</t>
  </si>
  <si>
    <t>14 اسفند</t>
  </si>
  <si>
    <t>15 اسفند</t>
  </si>
  <si>
    <t>16 اسفند</t>
  </si>
  <si>
    <t>17 اسفند</t>
  </si>
  <si>
    <t>18 اسفند</t>
  </si>
  <si>
    <t>19 اسفند</t>
  </si>
  <si>
    <t>20 اسفند</t>
  </si>
  <si>
    <t>21 اسفند</t>
  </si>
  <si>
    <t>22 اسفند</t>
  </si>
  <si>
    <t>23 اسفند</t>
  </si>
  <si>
    <t>24 اسفند</t>
  </si>
  <si>
    <t>25 اسفند</t>
  </si>
  <si>
    <t>26 اسفند</t>
  </si>
  <si>
    <t>27 اسفند</t>
  </si>
  <si>
    <t>28 اسفند</t>
  </si>
  <si>
    <t>29 اسفند</t>
  </si>
  <si>
    <t>یک واحد وقتی «بسته» است که هر سه ستون F و G و H عدد ۱ داشته باشند. تاریخ پایان (E) را حتماً بنویس — برگه‌های هفتگی و ماهانه از همین ستون واحدهای بسته‌شده را می‌شمارند.</t>
  </si>
  <si>
    <t>#</t>
  </si>
  <si>
    <t>عنوان واحد</t>
  </si>
  <si>
    <t>شروع</t>
  </si>
  <si>
    <t>پایان</t>
  </si>
  <si>
    <t>جزوه</t>
  </si>
  <si>
    <t>انکی</t>
  </si>
  <si>
    <t>آزمون</t>
  </si>
  <si>
    <t>نمره ٪</t>
  </si>
  <si>
    <t>هنوز گنگ است</t>
  </si>
  <si>
    <t>فاز ۱</t>
  </si>
  <si>
    <t>مکالمه میشل توماس — درس 1</t>
  </si>
  <si>
    <t xml:space="preserve">ماک ازمایشی </t>
  </si>
  <si>
    <t>ترتیب کلمات و V2 · صرف باقاعده · Sie</t>
  </si>
  <si>
    <t>مکالمه میشل توماس — درس 2</t>
  </si>
  <si>
    <t>افعال مدال · نفی با nicht</t>
  </si>
  <si>
    <t>مکالمه میشل توماس — درس 3</t>
  </si>
  <si>
    <t>ضمایر Akkusativ و Dativ · wo و wohin</t>
  </si>
  <si>
    <t>مکالمه میشل توماس — درس 4</t>
  </si>
  <si>
    <t>جملات فرعی · آینده · möchte و gern</t>
  </si>
  <si>
    <t>مکالمه میشل توماس — درس 5</t>
  </si>
  <si>
    <t>افعال انعکاسی · es غیرشخصی · zu + مصدر · kein/nicht · ‑heit و ‑keit</t>
  </si>
  <si>
    <t>مکالمه میشل توماس — درس 6 · ۴ قسمت ۱۶ دقیقه‌ای</t>
  </si>
  <si>
    <t>مکالمه میشل توماس — درس 7 · ۴ قسمت ۱۶ دقیقه‌ای</t>
  </si>
  <si>
    <t>مکالمه میشل توماس — درس 8 · ۴ قسمت ۱۶ دقیقه‌ای</t>
  </si>
  <si>
    <t>مکالمه میشل توماس — درس 9 · ۴ قسمت ۱۶ دقیقه‌ای</t>
  </si>
  <si>
    <t>مکالمه میشل توماس — درس 10 · ۴ قسمت ۱۶ دقیقه‌ای</t>
  </si>
  <si>
    <t>مکالمه میشل توماس — درس 11 · ۴ قسمت ۱۶ دقیقه‌ای</t>
  </si>
  <si>
    <t>مکالمه میشل توماس — امتحان نهایی</t>
  </si>
  <si>
    <t>گرامر بنیادی · آرتیکل — قسمت اول</t>
  </si>
  <si>
    <t>گرامر بنیادی · آرتیکل — قسمت دوم</t>
  </si>
  <si>
    <t>گرامر بنیادی · آرتیکل — قسمت سوم</t>
  </si>
  <si>
    <t>گرامر بنیادی · آرتیکل — قسمت چهارم</t>
  </si>
  <si>
    <t>گرامر بنیادی · پیش‌نیازهای مهم</t>
  </si>
  <si>
    <t>گرامر بنیادی · حروف اضافه هندسی</t>
  </si>
  <si>
    <t>گرامر بنیادی · سه حرکت اساسی</t>
  </si>
  <si>
    <t>گرامر بنیادی · گنتیو</t>
  </si>
  <si>
    <t>گرامر بنیادی · ضمایر موصولی یا عطفی</t>
  </si>
  <si>
    <t>گرامر بنیادی · صرف صفت</t>
  </si>
  <si>
    <t>فاز ۲</t>
  </si>
  <si>
    <t>درس 1 · Meine Familie · Maria und ihre Familie · Ich bin Tom · Freundinnen · Frühstück</t>
  </si>
  <si>
    <t>درس 2 · Susanne schreibt einen Brief · Struppi · In der Schule · Brief an Marion · Ferien</t>
  </si>
  <si>
    <t>درس 3 · Der Skiurlaub · Nachbarn L1</t>
  </si>
  <si>
    <t>درس 4 · Einkaufen · Nachbarn L2</t>
  </si>
  <si>
    <t>درس 5 · Österreich · Der Weg zum Supermarkt · Nachbarn L3</t>
  </si>
  <si>
    <t>درس 6 · Wir sind umgezogen · Nachbarn L4</t>
  </si>
  <si>
    <t>درس 7 · Umtausch · Der Müritzsee · Nachbarn L5</t>
  </si>
  <si>
    <t>درس 8 · Meine Geburtstagsfeier · Im Einkaufszentrum · Nachbarn L6</t>
  </si>
  <si>
    <t>درس 9 · Mein Tag · Meine erste Wohnung · Meine Stadt · Kleidung kaufen</t>
  </si>
  <si>
    <t>درس 10 · Tod in der Oper 1 · Gute Zeiten für Akademiker</t>
  </si>
  <si>
    <t>درس 11 · Tod in der Oper 2 · Mozart</t>
  </si>
  <si>
    <t>نقشه‌ی راه — پنج فاز</t>
  </si>
  <si>
    <t>درس 12 · Tod in der Oper 3 · Home Shopping</t>
  </si>
  <si>
    <t>نام فاز</t>
  </si>
  <si>
    <t>چک‌پوینت</t>
  </si>
  <si>
    <t>درس 13 · Tod in der Oper 4 · Lotto-Millionär · Trinkgeld</t>
  </si>
  <si>
    <t>فاز ۱ · میشل توماس ۶ تا ۱۱ + بلوک گرامر بنیادی</t>
  </si>
  <si>
    <t>درس 14 · Tod in der Oper 5 · Duzen Sie immer noch?</t>
  </si>
  <si>
    <t>ماک سطح A2 — هفته ۴</t>
  </si>
  <si>
    <t>درس 15 · Tod in der Oper 6 · Reiseziel Wien</t>
  </si>
  <si>
    <t>فاز ۲ · بیست درس (Nachbarn · Tod in der Oper)</t>
  </si>
  <si>
    <t>درس 16 · Tod in der Oper 7 · Traumreisen in die Vergangenheit</t>
  </si>
  <si>
    <t>ماک سطح B1 — هفته ۱۱</t>
  </si>
  <si>
    <t>درس 17 · Tod in der Oper 8 · Die giftigsten Tiere</t>
  </si>
  <si>
    <t>فاز ۳ · هجده درس (Blind Date · Das Wunschhaus)</t>
  </si>
  <si>
    <t>ماک کامل ÖSD B2 — هفته ۱۸</t>
  </si>
  <si>
    <t>فاز ۴ · بیست درس — تکمیل و تثبیت B2</t>
  </si>
  <si>
    <t>ماک کامل دوم — هفته ۲۵</t>
  </si>
  <si>
    <t>درس 18 · Tod in der Oper 9 · Haustiere</t>
  </si>
  <si>
    <t>آماده‌سازی محض آزمون</t>
  </si>
  <si>
    <t>آزمون واقعی ÖSD B2</t>
  </si>
  <si>
    <t>درس 19 · Tod in der Oper 10 · Die Macht der Farben</t>
  </si>
  <si>
    <t>درس 20 · Tod in der Oper 11 و 12 · Das Reichstagsgebäude · افعال مجهول</t>
  </si>
  <si>
    <t>فاز ۳</t>
  </si>
  <si>
    <t>درس 1 · Haben Sie noch Zeit · Erneuerbare Energien · Blind Date 1</t>
  </si>
  <si>
    <t>درس 2 · Kunst ist in · Lufthansa · Blind Date 2</t>
  </si>
  <si>
    <t>درس 3 · Welche Medien…? · Das deutsche Grundgesetz · Blind Date 3</t>
  </si>
  <si>
    <t>درس 4 · Umgangsformen im Geschäft · Die Beziehung · Blind Date 4</t>
  </si>
  <si>
    <t>درس 5 · Tipps für online… · Martin Luther und die Reformation · Blind Date 5</t>
  </si>
  <si>
    <t>درس 6 · Leser und Nichtleser · Schiller und Goethe</t>
  </si>
  <si>
    <t>درس 7 · Die Erfindung des Buchdrucks · Vereine</t>
  </si>
  <si>
    <t>درس 8 · Wer bestimmt eigentlich…? · Bürgerinitiativen</t>
  </si>
  <si>
    <t>درس 9 · Nachrichten in der Krise · Das Leben der Anderen</t>
  </si>
  <si>
    <t>درس 10 · Werbung bis 1900 · Beruf und Karriere · Das Wunschhaus 1</t>
  </si>
  <si>
    <t>درس 11 · Menschen, die einkaufen · Gesundheitssystem · Das Wunschhaus 2</t>
  </si>
  <si>
    <t>درس 12 · Wie landet das Wort im Kopf · Banken · Das Wunschhaus 3</t>
  </si>
  <si>
    <t>درس 13 · Musik baut Stress ab · Senioren · Das Wunschhaus 4</t>
  </si>
  <si>
    <t>درس 14 · Spiegel der Stadt – Berlin · Öko und Bio · Das Wunschhaus 5</t>
  </si>
  <si>
    <t>درس 15 · Kuh auf der Autobahn · Die Bewerbung · Das Wunschhaus 6</t>
  </si>
  <si>
    <t>درس 16 · Idylle in ruhiger Lage · Der Frühling · Das Wunschhaus 7</t>
  </si>
  <si>
    <t>درس 17 · Wo ist der richtige Weg…? · Migration · Das Wunschhaus 8</t>
  </si>
  <si>
    <t>درس 18 · Die Geschichte der Schokolade · Das Wunschhaus 9</t>
  </si>
  <si>
    <t>فاز ۴</t>
  </si>
  <si>
    <t>درس 1 · Wer mit wem · Eine starke Frau: Pauline von Lippe</t>
  </si>
  <si>
    <t>درس 2 · Grüße aus Peru · Eine kleine Hotel-Geschichte</t>
  </si>
  <si>
    <t>درس 3 · Deutsche sind statistische Durchschnitts… · Abenteuer Ausland</t>
  </si>
  <si>
    <t>درس 4 · Kostspielige Missverständnisse · Lieber Geld statt Freizeit</t>
  </si>
  <si>
    <t>درس 5 · Machen Sie doch einfach mal… · Wenn Besprechungen zum Zeitkiller werden</t>
  </si>
  <si>
    <t>درس 6 · Menschen und ihre Freizeitbeschäftigungen · Berlin-Studie</t>
  </si>
  <si>
    <t>درس 7 · Wie wird ein Ereignis zur Nachricht · Der Ruf der Tagesfische 6</t>
  </si>
  <si>
    <t>درس 8 · Der Fernsehkrimi und das Wirkliche · Der Ruf der Tagesfische 7</t>
  </si>
  <si>
    <t>درس 9 · Ein wichtiger Herbst in der deutschen… · Home-1</t>
  </si>
  <si>
    <t>درس 10 · Null Toleranz gegen Kriminalität · Korruption</t>
  </si>
  <si>
    <t>درس 11 · Mikrowellen als Nahkampfwaffe · Wie kommen Produkte zu ihren Preisen</t>
  </si>
  <si>
    <t>درس 12 · Zu viele Funktionen · Mensch gegen Maschine</t>
  </si>
  <si>
    <t>درس 13 · Was ist cool · Home-5</t>
  </si>
  <si>
    <t>درس 14 · Der Trabant · Das Leiden des Marcel Proust</t>
  </si>
  <si>
    <t>درس 15 · Gesunde Ernährung · Wenn die Deckenlampe tanzt</t>
  </si>
  <si>
    <t>درس 16 · Das Zwicken der Narbe · Nur noch Englisch</t>
  </si>
  <si>
    <t>درس 17 · Sprache ohne Worte · Was verrät nonverbale Kommunikation</t>
  </si>
  <si>
    <t>درس 18 · Die Glücksformel · Die neue Wissenschaft vom Glück</t>
  </si>
  <si>
    <t>درس 19 · Wenn die Arbeit die Seele belastet · Die Deutschen finden praktisch…</t>
  </si>
  <si>
    <t>درس 20 · Unter Druck nach oben</t>
  </si>
  <si>
    <t>سهم روزانه‌ی هر مهارت — سطح به سطح</t>
  </si>
  <si>
    <t>همه‌ی ستون‌ها ۲۵۵ دقیقه‌اند. آنچه عوض می‌شود تقسیم آن است، نه مقدارش.</t>
  </si>
  <si>
    <t>فاز ۱ · A1
هفته ۱–۴</t>
  </si>
  <si>
    <t>فاز ۲ · A2→B1
هفته ۵–۱۱</t>
  </si>
  <si>
    <t>فاز ۳ · B1→B2
هفته ۱۲–۱۸</t>
  </si>
  <si>
    <t>فاز ۴ · B2
هفته ۱۹–۲۵</t>
  </si>
  <si>
    <t>آماده‌سازی
هفته ۲۶–۲۸</t>
  </si>
  <si>
    <t>گرامر و ساختار</t>
  </si>
  <si>
    <t>—</t>
  </si>
  <si>
    <t>انکی (لغت و مرور)</t>
  </si>
  <si>
    <t>Hören</t>
  </si>
  <si>
    <t>Lesen</t>
  </si>
  <si>
    <t>Schreiben</t>
  </si>
  <si>
    <t>Sprechen</t>
  </si>
  <si>
    <t>آزمون ماک و تحلیل خطا</t>
  </si>
  <si>
    <t>بستن روز</t>
  </si>
  <si>
    <t>جمع</t>
  </si>
  <si>
    <t>ساختار روز و قواعد از پیش تعیین‌شده</t>
  </si>
  <si>
    <t>ساختار روز عادی — ۲۵۵ دقیقه</t>
  </si>
  <si>
    <t>① انکی · ۳۰ دقیقه</t>
  </si>
  <si>
    <t>کف روزانه. اولِ روز، قبل از هر کار دیگر — حتی قبل از باز کردن گوشی. حتی در بدترین روز انجام می‌شود.</t>
  </si>
  <si>
    <t>② مبحث جدید · ۹۰ دقیقه</t>
  </si>
  <si>
    <t>بعد از مرور انجام می‌شود. بزرگ‌ترین و سخت‌ترین بلاک روز.</t>
  </si>
  <si>
    <t>③ ورودی · ۶۰ دقیقه</t>
  </si>
  <si>
    <t>Hören و Lesen — درس دوره از فاز ۲ به بعد اینجا انجام می‌شود.</t>
  </si>
  <si>
    <t>④ خروجی · ۶۰ دقیقه</t>
  </si>
  <si>
    <t>Schreiben و Sprechen.</t>
  </si>
  <si>
    <t>⑤ بستن روز · ۱۵ دقیقه</t>
  </si>
  <si>
    <t>ساخت کارت انکی + پر کردن سطر امروز در «ورود روزانه» + برنامه‌ی فردا.</t>
  </si>
  <si>
    <t>روز بد — کف روزانه</t>
  </si>
  <si>
    <t>تمام مرورهای سررسیدشده‌ی انکی</t>
  </si>
  <si>
    <t>هرچقدر که هست. بدون استثنا.</t>
  </si>
  <si>
    <t>هیچ کارت جدیدی اضافه نمی‌شود</t>
  </si>
  <si>
    <t>کارت جدید چیزی است که در روز بد قربانی می‌شود، نه مرور.</t>
  </si>
  <si>
    <t>یک متن کوتاه یا ۵ دقیقه Hören</t>
  </si>
  <si>
    <t>همین. تمام.</t>
  </si>
  <si>
    <t>بعدش؟</t>
  </si>
  <si>
    <t>اگر هنوز حسش نبود، آن روز تمام است — بدون احساس گناه. همان احساس گناه است که باعث صفرِ دوم می‌شود.</t>
  </si>
  <si>
    <t>پروتکل اودیسه</t>
  </si>
  <si>
    <t>در لحظه هیچ تصمیمی گرفته نمی‌شود. تصمیم‌ها از قبل گرفته شده‌اند؛ کارِ لحظه فقط اجراست.</t>
  </si>
  <si>
    <t>گوشی و شبکه‌های اجتماعی</t>
  </si>
  <si>
    <t>گوشی در اتاق دیگر در تمام بلاک‌ها. بلاک ① قبل از اولین نگاه به گوشی.</t>
  </si>
  <si>
    <t>«الان حسش نیست»</t>
  </si>
  <si>
    <t>فقط کف روزانه. در لحظه هیچ تصمیمی گرفته نمی‌شود.</t>
  </si>
  <si>
    <t>«الان حال می‌ده برم بیرون»</t>
  </si>
  <si>
    <t>حذف نمی‌شود، جابه‌جا می‌شود: بعد از بلاک ②. تصمیمش شب قبل.</t>
  </si>
  <si>
    <t>نشخوار فکری</t>
  </si>
  <si>
    <t>فکر مزاحم نوشته و به بعد از بلاک موکول می‌شود.</t>
  </si>
  <si>
    <t>بعد از یک روز صفر</t>
  </si>
  <si>
    <t>هرگز دو بار پشت هم صفر. یک روز صفر اتفاق است؛ دو روز، الگو.</t>
  </si>
  <si>
    <t>خستگی و بداخلاقی</t>
  </si>
  <si>
    <t>بعد از بلاک ⑤ مطالعه تمام است، حتی اگر ناتمام مانده باشد.</t>
  </si>
  <si>
    <t>«بعداً وقت هست» · «اول این کار، بعد درس»</t>
  </si>
  <si>
    <t>هر کاری که قبل از کف روزانه بیاید، آن روز کف را می‌خورد — حتی اگر کار خوبی باشد. کف قبل از اولین کارِ روز انجام می‌شود.</t>
  </si>
  <si>
    <t>مهمانی یا برنامه‌ی اجتماعیِ از قبل معلوم</t>
  </si>
  <si>
    <t>کف روزانه قبل از بیرون رفتن انجام می‌شود، نه بعدش. بعد از برگشتن هیچ بلاکی اجرا نمی‌شود. روتین شب لحظه‌ی ورود انجام می‌شود، نه بعد از نشستن — بین در ورودی و مبل هیچ توقفی نیست.</t>
  </si>
  <si>
    <t>سه قاعده‌ی انکی</t>
  </si>
  <si>
    <t>کف روزانه = تمام مرورهای سررسیدشده</t>
  </si>
  <si>
    <t>بدون هیچ کارت جدید. مرور تنها کاری است که اگر انجامش ندهی بدتر می‌شود.</t>
  </si>
  <si>
    <t>حداکثر ۲۰ کارت جدید در روز</t>
  </si>
  <si>
    <t>۳۶۰۰ کارت تقسیم بر ۱۹۵ روز ≈ ۱۸. بیشتر از ۲۰ سقف ۴۵ دقیقه را غیرممکن می‌کند.</t>
  </si>
  <si>
    <t>مرور از ۴۵ دقیقه گذشت؟</t>
  </si>
  <si>
    <t>سرعت واحدها کم می‌شود، نه مرور.</t>
  </si>
  <si>
    <t>نگهداری از خودم</t>
  </si>
  <si>
    <t>بلاک «خودم» — هر دو هفته یک‌بار</t>
  </si>
  <si>
    <t>سه تا چهار ساعت، جمعه بعدازظهر، از قبل روی تقویم. مانیکور، فیشیال، مزوتراپی، خرید. خودمراقبتیِ بلاک‌شکل اگر جا نداشته باشد، فشارش جمع می‌شود و یک روز وسط هفته را می‌ترکاند.</t>
  </si>
  <si>
    <t>بدهی اجتماعی — جمعه‌ها، بیست دقیقه</t>
  </si>
  <si>
    <t>جواب دادن به پیام‌های عقب‌افتاده. نه وسط هفته، نه وقتی نشسته‌ای درس بخوانی.</t>
  </si>
  <si>
    <t>چرا این‌ها اینجاست</t>
  </si>
  <si>
    <t>این‌ها anti-goal شماره ۱ و ۳ هستند. اگر جای مشخص نداشته باشند، از بودجه‌ی درس برمی‌دارند — نه از بی‌انضباطی، بلکه چون لازم‌اند.</t>
  </si>
  <si>
    <t>چه چیزی اینجا ثبت می‌شود</t>
  </si>
  <si>
    <t>دولینگو، ویدئوی یوتیوب، پادکست، فیلم، تمرین شخصی — هر آلمانیِ بیرون از پنج بلاک.</t>
  </si>
  <si>
    <t>در «٪ اجرای برنامه» حساب نمی‌شود</t>
  </si>
  <si>
    <t>آن درصد می‌گوید چقدر از برنامه اجرا شد. اگر اضافه‌کاری هم در آن بیاید، ممکن است بلاک‌ها را نزنی و درصدت صد باشد.</t>
  </si>
  <si>
    <t>ولی در «ساعت کل» حساب می‌شود</t>
  </si>
  <si>
    <t>آلمانیِ اضافه بالاخره آلمانی است.</t>
  </si>
  <si>
    <t>قاعده</t>
  </si>
  <si>
    <t>دقیقه‌ی اضافه هیچ‌وقت جای بلاک را نمی‌گیرد. اگر هفته‌ای ۳۰۰ دقیقه اضافه داشتی و صفر واحد بسته شد، آن زنگ خطر است نه برد.</t>
  </si>
  <si>
    <t>ریتم گزارش</t>
  </si>
  <si>
    <t>هر شب · دو دقیقه</t>
  </si>
  <si>
    <t>سطر امروز در «ورود روزانه».</t>
  </si>
  <si>
    <t>هر جمعه · پنج دقیقه</t>
  </si>
  <si>
    <t>سه ستون آخر برگه‌ی «هفتگی» + فرستادن عددهای داشبورد به کلاد.</t>
  </si>
  <si>
    <t>آخر هر ماه</t>
  </si>
  <si>
    <t>ستون «مرور ماه» در برگه‌ی «ماهانه».</t>
  </si>
  <si>
    <t>قانون دو هفته</t>
  </si>
  <si>
    <t>دو هفته‌ی پیاپی زیر ۷۰٪ ⟵ برنامه اشتباه است، نه آدم.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</si>
</sst>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"/>
    <numFmt numFmtId="166" formatCode="0.0%"/>
    <numFmt numFmtId="167" formatCode="yyyy/mm/dd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6E7C7E"/>
      <name val="Arial"/>
    </font>
    <font>
      <b/>
      <sz val="16.0"/>
      <color rgb="FF1F4E5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11.0"/>
      <color rgb="FF14201F"/>
      <name val="Arial"/>
    </font>
    <font>
      <b/>
      <sz val="11.0"/>
      <color rgb="FF0000FF"/>
      <name val="Arial"/>
    </font>
    <font>
      <b/>
      <sz val="10.0"/>
      <color rgb="FF1F4E5F"/>
      <name val="Arial"/>
    </font>
    <font>
      <sz val="10.0"/>
      <color rgb="FF14201F"/>
      <name val="Arial"/>
    </font>
    <font>
      <sz val="9.0"/>
      <color rgb="FF14201F"/>
      <name val="Arial"/>
    </font>
    <font>
      <sz val="10.0"/>
      <color rgb="FF6E7C7E"/>
      <name val="Arial"/>
    </font>
    <font>
      <b/>
      <sz val="11.0"/>
      <color rgb="FF14201F"/>
      <name val="Arial"/>
    </font>
    <font>
      <b/>
      <sz val="9.0"/>
      <color rgb="FFFFFFFF"/>
      <name val="Arial"/>
    </font>
    <font>
      <i/>
      <sz val="10.0"/>
      <color rgb="FF14201F"/>
      <name val="Arial"/>
    </font>
    <font>
      <b/>
      <sz val="10.0"/>
      <color rgb="FF14201F"/>
      <name val="Arial"/>
    </font>
    <font>
      <b/>
      <sz val="10.0"/>
      <color rgb="FF6E7C7E"/>
      <name val="Arial"/>
    </font>
    <font>
      <b/>
      <sz val="14.0"/>
      <color rgb="FF1F4E5F"/>
      <name val="Arial"/>
    </font>
    <font>
      <b/>
      <sz val="11.0"/>
      <color rgb="FF1F4E5F"/>
      <name val="Arial"/>
    </font>
    <font>
      <b/>
      <sz val="12.0"/>
      <color rgb="FFFFFFFF"/>
      <name val="Arial"/>
    </font>
    <font>
      <i/>
      <sz val="9.0"/>
      <color rgb="FF6E7C7E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8E1"/>
        <bgColor rgb="FFFFF8E1"/>
      </patternFill>
    </fill>
    <fill>
      <patternFill patternType="solid">
        <fgColor rgb="FFF4F6F6"/>
        <bgColor rgb="FFF4F6F6"/>
      </patternFill>
    </fill>
    <fill>
      <patternFill patternType="solid">
        <fgColor rgb="FFEAF2F6"/>
        <bgColor rgb="FFEAF2F6"/>
      </patternFill>
    </fill>
    <fill>
      <patternFill patternType="solid">
        <fgColor rgb="FFEFF1F1"/>
        <bgColor rgb="FFEFF1F1"/>
      </patternFill>
    </fill>
    <fill>
      <patternFill patternType="solid">
        <fgColor rgb="FFE9F2EC"/>
        <bgColor rgb="FFE9F2EC"/>
      </patternFill>
    </fill>
    <fill>
      <patternFill patternType="solid">
        <fgColor rgb="FFFBF1E3"/>
        <bgColor rgb="FFFBF1E3"/>
      </patternFill>
    </fill>
    <fill>
      <patternFill patternType="solid">
        <fgColor rgb="FFFBF3E6"/>
        <bgColor rgb="FFFBF3E6"/>
      </patternFill>
    </fill>
    <fill>
      <patternFill patternType="solid">
        <fgColor rgb="FF6E7C7E"/>
        <bgColor rgb="FF6E7C7E"/>
      </patternFill>
    </fill>
    <fill>
      <patternFill patternType="solid">
        <fgColor rgb="FFDCE7EB"/>
        <bgColor rgb="FFDCE7EB"/>
      </patternFill>
    </fill>
  </fills>
  <borders count="4">
    <border/>
    <border>
      <left style="thin">
        <color rgb="FFC6D0D2"/>
      </left>
      <right style="thin">
        <color rgb="FFC6D0D2"/>
      </right>
      <top style="thin">
        <color rgb="FFC6D0D2"/>
      </top>
      <bottom style="thin">
        <color rgb="FFC6D0D2"/>
      </bottom>
    </border>
    <border>
      <left/>
      <right/>
      <top/>
      <bottom/>
    </border>
    <border>
      <bottom style="thin">
        <color rgb="FFC6D0D2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right" readingOrder="0" shrinkToFit="0" vertical="center" wrapText="0"/>
    </xf>
    <xf borderId="2" fillId="2" fontId="1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right" readingOrder="0" shrinkToFit="0" vertical="center" wrapText="0"/>
    </xf>
    <xf borderId="1" fillId="3" fontId="7" numFmtId="164" xfId="0" applyAlignment="1" applyBorder="1" applyFill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3" fontId="7" numFmtId="1" xfId="0" applyAlignment="1" applyBorder="1" applyFill="1" applyFont="1" applyNumberFormat="1">
      <alignment horizontal="center" shrinkToFit="0" vertical="center" wrapText="0"/>
    </xf>
    <xf borderId="1" fillId="0" fontId="9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ill="1" applyFont="1">
      <alignment horizontal="right" readingOrder="0" shrinkToFit="0" vertical="center" wrapText="1"/>
    </xf>
    <xf borderId="1" fillId="5" fontId="9" numFmtId="0" xfId="0" applyAlignment="1" applyBorder="1" applyFill="1" applyFont="1">
      <alignment horizontal="center" shrinkToFit="0" vertical="center" wrapText="0"/>
    </xf>
    <xf borderId="3" fillId="0" fontId="3" numFmtId="1" xfId="0" applyAlignment="1" applyBorder="1" applyFont="1" applyNumberFormat="1">
      <alignment horizontal="center" shrinkToFit="0" vertical="center" wrapText="0"/>
    </xf>
    <xf borderId="1" fillId="6" fontId="9" numFmtId="0" xfId="0" applyAlignment="1" applyBorder="1" applyFill="1" applyFont="1">
      <alignment horizontal="center" shrinkToFit="0" vertical="center" wrapText="0"/>
    </xf>
    <xf borderId="3" fillId="0" fontId="3" numFmtId="165" xfId="0" applyAlignment="1" applyBorder="1" applyFont="1" applyNumberFormat="1">
      <alignment horizontal="center" shrinkToFit="0" vertical="center" wrapText="0"/>
    </xf>
    <xf borderId="1" fillId="6" fontId="11" numFmtId="0" xfId="0" applyAlignment="1" applyBorder="1" applyFill="1" applyFont="1">
      <alignment horizontal="center" shrinkToFit="0" vertical="center" wrapText="0"/>
    </xf>
    <xf borderId="1" fillId="7" fontId="9" numFmtId="0" xfId="0" applyAlignment="1" applyBorder="1" applyFill="1" applyFont="1">
      <alignment horizontal="center" shrinkToFit="0" vertical="center" wrapText="0"/>
    </xf>
    <xf borderId="3" fillId="0" fontId="12" numFmtId="1" xfId="0" applyAlignment="1" applyBorder="1" applyFont="1" applyNumberFormat="1">
      <alignment horizontal="center" shrinkToFit="0" vertical="center" wrapText="0"/>
    </xf>
    <xf borderId="1" fillId="6" fontId="9" numFmtId="9" xfId="0" applyAlignment="1" applyBorder="1" applyFill="1" applyFont="1" applyNumberFormat="1">
      <alignment horizontal="center" shrinkToFit="0" vertical="center" wrapText="0"/>
    </xf>
    <xf borderId="3" fillId="0" fontId="12" numFmtId="166" xfId="0" applyAlignment="1" applyBorder="1" applyFont="1" applyNumberFormat="1">
      <alignment horizontal="center" shrinkToFit="0" vertical="center" wrapText="0"/>
    </xf>
    <xf borderId="3" fillId="0" fontId="12" numFmtId="0" xfId="0" applyAlignment="1" applyBorder="1" applyFont="1">
      <alignment horizontal="center" shrinkToFit="0" vertical="center" wrapText="0"/>
    </xf>
    <xf borderId="1" fillId="3" fontId="9" numFmtId="0" xfId="0" applyAlignment="1" applyBorder="1" applyFill="1" applyFont="1">
      <alignment horizontal="right" shrinkToFit="0" vertical="top" wrapText="1"/>
    </xf>
    <xf borderId="1" fillId="8" fontId="9" numFmtId="0" xfId="0" applyAlignment="1" applyBorder="1" applyFill="1" applyFont="1">
      <alignment horizontal="center" shrinkToFit="0" vertical="center" wrapText="0"/>
    </xf>
    <xf borderId="3" fillId="0" fontId="12" numFmtId="2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ill="1" applyFont="1">
      <alignment horizontal="right" readingOrder="0" shrinkToFit="0" vertical="top" wrapText="1"/>
    </xf>
    <xf borderId="1" fillId="9" fontId="2" numFmtId="164" xfId="0" applyAlignment="1" applyBorder="1" applyFill="1" applyFont="1" applyNumberFormat="1">
      <alignment horizontal="center" shrinkToFit="0" vertical="center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 shrinkToFit="0" vertical="center" wrapText="0"/>
    </xf>
    <xf borderId="1" fillId="5" fontId="9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right" readingOrder="0" shrinkToFit="0" vertical="top" wrapText="1"/>
    </xf>
    <xf borderId="3" fillId="0" fontId="12" numFmtId="9" xfId="0" applyAlignment="1" applyBorder="1" applyFont="1" applyNumberFormat="1">
      <alignment horizontal="center" shrinkToFit="0" vertical="center" wrapText="0"/>
    </xf>
    <xf borderId="1" fillId="7" fontId="9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right" readingOrder="0" shrinkToFit="0" vertical="top" wrapText="1"/>
    </xf>
    <xf borderId="1" fillId="10" fontId="13" numFmtId="0" xfId="0" applyAlignment="1" applyBorder="1" applyFill="1" applyFont="1">
      <alignment horizontal="center" readingOrder="0" shrinkToFit="0" vertical="center" wrapText="0"/>
    </xf>
    <xf borderId="3" fillId="0" fontId="6" numFmtId="165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right" readingOrder="0" shrinkToFit="0" vertical="center" wrapText="0"/>
    </xf>
    <xf borderId="0" fillId="0" fontId="12" numFmtId="165" xfId="0" applyAlignment="1" applyFont="1" applyNumberFormat="1">
      <alignment horizontal="center" shrinkToFit="0" vertical="bottom" wrapText="0"/>
    </xf>
    <xf borderId="0" fillId="0" fontId="12" numFmtId="0" xfId="0" applyAlignment="1" applyFont="1">
      <alignment horizontal="center" shrinkToFit="0" vertical="bottom" wrapText="0"/>
    </xf>
    <xf borderId="3" fillId="0" fontId="12" numFmtId="165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right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14" numFmtId="164" xfId="0" applyAlignment="1" applyBorder="1" applyFill="1" applyFont="1" applyNumberFormat="1">
      <alignment horizontal="center" shrinkToFit="0" vertical="center" wrapText="0"/>
    </xf>
    <xf borderId="1" fillId="3" fontId="14" numFmtId="0" xfId="0" applyAlignment="1" applyBorder="1" applyFill="1" applyFont="1">
      <alignment horizontal="right" shrinkToFit="0" vertical="center" wrapText="1"/>
    </xf>
    <xf borderId="1" fillId="3" fontId="14" numFmtId="0" xfId="0" applyAlignment="1" applyBorder="1" applyFill="1" applyFont="1">
      <alignment horizontal="center" shrinkToFit="0" vertical="center" wrapText="0"/>
    </xf>
    <xf borderId="1" fillId="6" fontId="11" numFmtId="166" xfId="0" applyAlignment="1" applyBorder="1" applyFill="1" applyFont="1" applyNumberFormat="1">
      <alignment horizontal="center" shrinkToFit="0" vertical="center" wrapText="0"/>
    </xf>
    <xf borderId="1" fillId="3" fontId="9" numFmtId="164" xfId="0" applyAlignment="1" applyBorder="1" applyFill="1" applyFont="1" applyNumberFormat="1">
      <alignment horizontal="center" shrinkToFit="0" vertical="center" wrapText="0"/>
    </xf>
    <xf borderId="1" fillId="3" fontId="9" numFmtId="0" xfId="0" applyAlignment="1" applyBorder="1" applyFill="1" applyFont="1">
      <alignment horizontal="right" shrinkToFit="0" vertical="center" wrapText="1"/>
    </xf>
    <xf borderId="1" fillId="3" fontId="9" numFmtId="0" xfId="0" applyAlignment="1" applyBorder="1" applyFill="1" applyFont="1">
      <alignment horizontal="center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11" fontId="2" numFmtId="0" xfId="0" applyAlignment="1" applyBorder="1" applyFill="1" applyFont="1">
      <alignment horizontal="center" readingOrder="0" shrinkToFit="0" vertical="center" wrapText="0"/>
    </xf>
    <xf borderId="1" fillId="0" fontId="9" numFmtId="0" xfId="0" applyAlignment="1" applyBorder="1" applyFont="1">
      <alignment horizontal="right" readingOrder="0" shrinkToFit="0" vertical="center" wrapText="1"/>
    </xf>
    <xf borderId="1" fillId="6" fontId="16" numFmtId="0" xfId="0" applyAlignment="1" applyBorder="1" applyFill="1" applyFont="1">
      <alignment horizontal="center" shrinkToFit="0" vertical="center" wrapText="0"/>
    </xf>
    <xf borderId="1" fillId="3" fontId="9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right" readingOrder="0" shrinkToFit="0" vertical="center" wrapText="1"/>
    </xf>
    <xf borderId="1" fillId="3" fontId="9" numFmtId="164" xfId="0" applyAlignment="1" applyBorder="1" applyFill="1" applyFont="1" applyNumberFormat="1">
      <alignment horizontal="center" readingOrder="0" shrinkToFit="0" vertical="center" wrapText="0"/>
    </xf>
    <xf borderId="1" fillId="3" fontId="9" numFmtId="0" xfId="0" applyAlignment="1" applyBorder="1" applyFill="1" applyFont="1">
      <alignment horizontal="center" readingOrder="0" shrinkToFit="0" vertical="center" wrapText="0"/>
    </xf>
    <xf borderId="1" fillId="3" fontId="9" numFmtId="167" xfId="0" applyAlignment="1" applyBorder="1" applyFill="1" applyFont="1" applyNumberForma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0" fontId="9" numFmtId="0" xfId="0" applyAlignment="1" applyBorder="1" applyFont="1">
      <alignment horizontal="right" shrinkToFit="0" vertical="center" wrapText="1"/>
    </xf>
    <xf borderId="0" fillId="0" fontId="17" numFmtId="0" xfId="0" applyAlignment="1" applyFont="1">
      <alignment readingOrder="0" shrinkToFit="0" vertical="center" wrapText="0"/>
    </xf>
    <xf borderId="1" fillId="11" fontId="9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right" readingOrder="0" shrinkToFit="0" vertical="center" wrapText="1"/>
    </xf>
    <xf borderId="1" fillId="11" fontId="9" numFmtId="164" xfId="0" applyAlignment="1" applyBorder="1" applyFill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right" shrinkToFit="0" vertical="center" wrapText="1"/>
    </xf>
    <xf borderId="1" fillId="4" fontId="9" numFmtId="164" xfId="0" applyAlignment="1" applyBorder="1" applyFill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right" readingOrder="0" shrinkToFit="0" vertical="center" wrapText="1"/>
    </xf>
    <xf borderId="1" fillId="4" fontId="12" numFmtId="0" xfId="0" applyAlignment="1" applyBorder="1" applyFill="1" applyFont="1">
      <alignment horizontal="right" readingOrder="0"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4" fontId="12" numFmtId="0" xfId="0" applyAlignment="1" applyBorder="1" applyFill="1" applyFont="1">
      <alignment horizontal="right" shrinkToFit="0" vertical="center" wrapText="0"/>
    </xf>
    <xf borderId="1" fillId="2" fontId="5" numFmtId="0" xfId="0" applyAlignment="1" applyBorder="1" applyFill="1" applyFont="1">
      <alignment horizontal="right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2" fontId="19" numFmtId="0" xfId="0" applyAlignment="1" applyBorder="1" applyFill="1" applyFont="1">
      <alignment horizontal="right" readingOrder="0" shrinkToFit="0" vertical="center" wrapText="0"/>
    </xf>
    <xf borderId="1" fillId="4" fontId="15" numFmtId="0" xfId="0" applyAlignment="1" applyBorder="1" applyFill="1" applyFont="1">
      <alignment horizontal="right" readingOrder="0" shrinkToFit="0" vertical="top" wrapText="1"/>
    </xf>
    <xf borderId="1" fillId="0" fontId="9" numFmtId="0" xfId="0" applyAlignment="1" applyBorder="1" applyFont="1">
      <alignment horizontal="right" readingOrder="0" shrinkToFit="0" vertical="top" wrapText="1"/>
    </xf>
    <xf borderId="1" fillId="0" fontId="9" numFmtId="0" xfId="0" applyAlignment="1" applyBorder="1" applyFont="1">
      <alignment horizontal="right" shrinkToFit="0" vertical="top" wrapText="1"/>
    </xf>
    <xf borderId="0" fillId="0" fontId="20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8">
    <dxf>
      <font>
        <b/>
        <color rgb="FF2E6B52"/>
        <name val="Arial"/>
      </font>
      <fill>
        <patternFill patternType="none"/>
      </fill>
      <border/>
    </dxf>
    <dxf>
      <font>
        <b/>
        <color rgb="FF9E4038"/>
        <name val="Arial"/>
      </font>
      <fill>
        <patternFill patternType="none"/>
      </fill>
      <border/>
    </dxf>
    <dxf>
      <font>
        <b/>
        <sz val="16.0"/>
        <color rgb="FFB8721F"/>
        <name val="Arial"/>
      </font>
      <fill>
        <patternFill patternType="none"/>
      </fill>
      <border/>
    </dxf>
    <dxf>
      <font>
        <b/>
        <color rgb="FF2E6B52"/>
        <name val="Arial"/>
      </font>
      <fill>
        <patternFill patternType="solid">
          <fgColor rgb="FFE4F0E9"/>
          <bgColor rgb="FFE4F0E9"/>
        </patternFill>
      </fill>
      <border/>
    </dxf>
    <dxf>
      <font>
        <b/>
        <color rgb="FF1F4E5F"/>
        <name val="Arial"/>
      </font>
      <fill>
        <patternFill patternType="none"/>
      </fill>
      <border/>
    </dxf>
    <dxf>
      <font>
        <b/>
        <color rgb="FF9E4038"/>
        <name val="Arial"/>
      </font>
      <fill>
        <patternFill patternType="solid">
          <fgColor rgb="FFF7E3E1"/>
          <bgColor rgb="FFF7E3E1"/>
        </patternFill>
      </fill>
      <border/>
    </dxf>
    <dxf>
      <font/>
      <fill>
        <patternFill patternType="solid">
          <fgColor rgb="FFF7E3E1"/>
          <bgColor rgb="FFF7E3E1"/>
        </patternFill>
      </fill>
      <border/>
    </dxf>
    <dxf>
      <font>
        <b/>
        <color rgb="FFB8721F"/>
        <name val="Arial"/>
      </font>
      <fill>
        <patternFill patternType="solid">
          <fgColor rgb="FFFBF0DE"/>
          <bgColor rgb="FFFBF0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32.0"/>
    <col customWidth="1" min="3" max="3" width="18.0"/>
    <col customWidth="1" min="4" max="4" width="3.0"/>
    <col customWidth="1" min="5" max="5" width="32.0"/>
    <col customWidth="1" min="6" max="6" width="18.0"/>
    <col customWidth="1" min="7" max="26" width="8.71"/>
  </cols>
  <sheetData>
    <row r="1">
      <c r="A1" s="1"/>
      <c r="B1" s="1"/>
      <c r="C1" s="1"/>
      <c r="D1" s="1"/>
      <c r="E1" s="1"/>
      <c r="F1" s="1"/>
      <c r="G1" s="1"/>
    </row>
    <row r="2" ht="18.0" customHeight="1">
      <c r="A2" s="1"/>
      <c r="B2" s="3" t="s">
        <v>3</v>
      </c>
      <c r="C2" s="1"/>
      <c r="D2" s="1"/>
      <c r="E2" s="1"/>
      <c r="F2" s="1"/>
      <c r="G2" s="1"/>
    </row>
    <row r="3" ht="15.0" customHeight="1">
      <c r="A3" s="1"/>
      <c r="B3" s="2" t="s">
        <v>4</v>
      </c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21.75" customHeight="1">
      <c r="A5" s="1"/>
      <c r="B5" s="5" t="s">
        <v>7</v>
      </c>
      <c r="C5" s="6"/>
      <c r="D5" s="1"/>
      <c r="E5" s="1"/>
      <c r="F5" s="1"/>
      <c r="G5" s="1"/>
    </row>
    <row r="6" ht="18.75" customHeight="1">
      <c r="A6" s="1"/>
      <c r="B6" s="7" t="s">
        <v>22</v>
      </c>
      <c r="C6" s="8">
        <v>46466.0</v>
      </c>
      <c r="D6" s="1"/>
      <c r="E6" s="1"/>
      <c r="F6" s="1"/>
      <c r="G6" s="1"/>
    </row>
    <row r="7" ht="18.75" customHeight="1">
      <c r="A7" s="1"/>
      <c r="B7" s="7" t="s">
        <v>46</v>
      </c>
      <c r="C7" s="10">
        <v>600.0</v>
      </c>
      <c r="D7" s="1"/>
      <c r="E7" s="1"/>
      <c r="F7" s="1"/>
      <c r="G7" s="1"/>
    </row>
    <row r="8" ht="18.75" customHeight="1">
      <c r="A8" s="1"/>
      <c r="B8" s="7" t="s">
        <v>53</v>
      </c>
      <c r="C8" s="10">
        <v>255.0</v>
      </c>
      <c r="D8" s="1"/>
      <c r="E8" s="1"/>
      <c r="F8" s="1"/>
      <c r="G8" s="1"/>
    </row>
    <row r="9" ht="18.75" customHeight="1">
      <c r="A9" s="1"/>
      <c r="B9" s="7" t="s">
        <v>54</v>
      </c>
      <c r="C9" s="10">
        <v>80.0</v>
      </c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 ht="21.75" customHeight="1">
      <c r="A11" s="1"/>
      <c r="B11" s="5" t="s">
        <v>55</v>
      </c>
      <c r="C11" s="6"/>
      <c r="D11" s="1"/>
      <c r="E11" s="1"/>
      <c r="F11" s="1"/>
      <c r="G11" s="1"/>
    </row>
    <row r="12" ht="24.0" customHeight="1">
      <c r="A12" s="1"/>
      <c r="B12" s="15" t="s">
        <v>56</v>
      </c>
      <c r="C12" s="19">
        <f>$C$6-TODAY()</f>
        <v>179</v>
      </c>
      <c r="D12" s="1"/>
      <c r="E12" s="15" t="s">
        <v>60</v>
      </c>
      <c r="F12" s="21">
        <f>ROUND(SUM('ورود روزانه'!$L$3:$L$200)/60,1)</f>
        <v>40.8</v>
      </c>
      <c r="G12" s="1"/>
    </row>
    <row r="13" ht="18.75" customHeight="1">
      <c r="A13" s="1"/>
      <c r="B13" s="15" t="s">
        <v>61</v>
      </c>
      <c r="C13" s="24">
        <f>MIN(28,MAX(1,ROUNDUP((TODAY()-DATE(2026,9,6)+1)/7,0)))</f>
        <v>3</v>
      </c>
      <c r="D13" s="1"/>
      <c r="E13" s="15" t="s">
        <v>62</v>
      </c>
      <c r="F13" s="26">
        <f>IFERROR(SUM('ورود روزانه'!$L$3:$L$200)/60/$C$7,0)</f>
        <v>0.06791666667</v>
      </c>
      <c r="G13" s="1"/>
    </row>
    <row r="14" ht="18.75" customHeight="1">
      <c r="A14" s="1"/>
      <c r="B14" s="15" t="s">
        <v>63</v>
      </c>
      <c r="C14" s="27" t="str">
        <f t="array" ref="C14">IFERROR(INDEX('نقشه راه'!$B$3:$B$7,MATCH(TODAY(),'نقشه راه'!$C$3:$C$7,1)),"—")</f>
        <v>فاز ۱ · میشل توماس ۶ تا ۱۱ + بلوک گرامر بنیادی</v>
      </c>
      <c r="D14" s="1"/>
      <c r="E14" s="15" t="s">
        <v>64</v>
      </c>
      <c r="F14" s="30">
        <f>IFERROR(ROUND(MAX(0,$C$7-SUM('ورود روزانه'!$L$3:$L$200)/60)/MAX(1,$C$6-TODAY()),2),0)</f>
        <v>3.12</v>
      </c>
      <c r="G14" s="1"/>
    </row>
    <row r="15" ht="18.75" customHeight="1">
      <c r="A15" s="1"/>
      <c r="B15" s="15" t="s">
        <v>67</v>
      </c>
      <c r="C15" s="27" t="str">
        <f t="array" ref="C15">IFERROR(INDEX('هفتگی'!$E$3:$E$30,$C$13),"—")</f>
        <v>آرتیکل ۲، ۳ و ۴ + پیش‌نیازهای مهم · موازی: تمرین Akkusativ و Dativ</v>
      </c>
      <c r="D15" s="1"/>
      <c r="E15" s="15" t="s">
        <v>73</v>
      </c>
      <c r="F15" s="24">
        <f>COUNTIF('لکسیون'!$I$3:$I$82,"بسته")</f>
        <v>5</v>
      </c>
      <c r="G15" s="1"/>
    </row>
    <row r="16" ht="24.0" customHeight="1">
      <c r="A16" s="1"/>
      <c r="B16" s="15" t="s">
        <v>74</v>
      </c>
      <c r="C16" s="19">
        <f t="array" ref="C16">MAX(IFERROR(INDEX('ورود روزانه'!$U$3:$U$200,MATCH(TODAY(),'ورود روزانه'!$A$3:$A$200,0)),0),IFERROR(INDEX('ورود روزانه'!$U$3:$U$200,MATCH(TODAY()-1,'ورود روزانه'!$A$3:$A$200,0)),0))</f>
        <v>5</v>
      </c>
      <c r="D16" s="1"/>
      <c r="E16" s="15" t="s">
        <v>82</v>
      </c>
      <c r="F16" s="21">
        <f>IFERROR(ROUND(MAX(0,$C$9-COUNTIF('لکسیون'!$I$3:$I$82,"بسته"))/MAX(1,($C$6-TODAY())/7),1),0)</f>
        <v>2.9</v>
      </c>
      <c r="G16" s="1"/>
    </row>
    <row r="17">
      <c r="A17" s="1"/>
      <c r="B17" s="1"/>
      <c r="C17" s="1"/>
      <c r="D17" s="1"/>
      <c r="E17" s="1"/>
      <c r="F17" s="1"/>
      <c r="G17" s="1"/>
    </row>
    <row r="18" ht="21.75" customHeight="1">
      <c r="A18" s="1"/>
      <c r="B18" s="5" t="s">
        <v>89</v>
      </c>
      <c r="C18" s="6"/>
      <c r="D18" s="1"/>
      <c r="E18" s="1"/>
      <c r="F18" s="1"/>
      <c r="G18" s="1"/>
    </row>
    <row r="19" ht="24.0" customHeight="1">
      <c r="A19" s="1"/>
      <c r="B19" s="15" t="s">
        <v>12</v>
      </c>
      <c r="C19" s="19">
        <f t="array" ref="C19">IFERROR(INDEX('هفتگی'!$F$3:$F$30,$C$13),0)</f>
        <v>195</v>
      </c>
      <c r="D19" s="1"/>
      <c r="E19" s="15" t="s">
        <v>94</v>
      </c>
      <c r="F19" s="19">
        <f t="array" ref="F19">IFERROR(INDEX('هفتگی'!$J$3:$J$30,$C$13),0)</f>
        <v>10</v>
      </c>
      <c r="G19" s="1"/>
    </row>
    <row r="20" ht="18.75" customHeight="1">
      <c r="A20" s="1"/>
      <c r="B20" s="15" t="s">
        <v>99</v>
      </c>
      <c r="C20" s="37">
        <f t="array" ref="C20">IFERROR(INDEX('هفتگی'!$H$3:$H$30,$C$13),0)</f>
        <v>0.1274509804</v>
      </c>
      <c r="D20" s="1"/>
      <c r="E20" s="15" t="s">
        <v>102</v>
      </c>
      <c r="F20" s="24">
        <f t="array" ref="F20">IFERROR(INDEX('هفتگی'!$K$3:$K$30,$C$13),0)</f>
        <v>0</v>
      </c>
      <c r="G20" s="1"/>
    </row>
    <row r="21" ht="18.75" customHeight="1">
      <c r="A21" s="1"/>
      <c r="B21" s="15" t="s">
        <v>103</v>
      </c>
      <c r="C21" s="24">
        <f t="array" ref="C21">IFERROR(INDEX('هفتگی'!$I$3:$I$30,$C$13),0)</f>
        <v>2</v>
      </c>
      <c r="D21" s="1"/>
      <c r="E21" s="15" t="s">
        <v>104</v>
      </c>
      <c r="F21" s="27" t="str">
        <f t="array" ref="F21">IFERROR(INDEX('هفتگی'!$L$3:$L$30,$C$13),"—")</f>
        <v>هشدار</v>
      </c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21.75" customHeight="1">
      <c r="A23" s="1"/>
      <c r="B23" s="5" t="s">
        <v>110</v>
      </c>
      <c r="C23" s="6"/>
      <c r="D23" s="1"/>
      <c r="E23" s="1"/>
      <c r="F23" s="1"/>
      <c r="G23" s="1"/>
    </row>
    <row r="24" ht="24.0" customHeight="1">
      <c r="A24" s="1"/>
      <c r="B24" s="15" t="s">
        <v>111</v>
      </c>
      <c r="C24" s="21">
        <f t="array" ref="C24">IFERROR(INDEX('ماهانه'!$F$3:$F$10,MATCH(INDEX('ورود روزانه'!$E$3:$E$200,MATCH(TODAY(),'ورود روزانه'!$A$3:$A$200,0)),'ماهانه'!$A$3:$A$10,0)),0)</f>
        <v>40.8</v>
      </c>
      <c r="D24" s="1"/>
      <c r="E24" s="15" t="s">
        <v>117</v>
      </c>
      <c r="F24" s="19">
        <f t="array" ref="F24">IFERROR(INDEX('ماهانه'!$I$3:$I$10,MATCH(INDEX('ورود روزانه'!$E$3:$E$200,MATCH(TODAY(),'ورود روزانه'!$A$3:$A$200,0)),'ماهانه'!$A$3:$A$10,0)),0)</f>
        <v>4</v>
      </c>
      <c r="G24" s="1"/>
    </row>
    <row r="25" ht="18.75" customHeight="1">
      <c r="A25" s="1"/>
      <c r="B25" s="15" t="s">
        <v>121</v>
      </c>
      <c r="C25" s="37">
        <f t="array" ref="C25">IFERROR(INDEX('ماهانه'!$G$3:$G$10,MATCH(INDEX('ورود روزانه'!$E$3:$E$200,MATCH(TODAY(),'ورود روزانه'!$A$3:$A$200,0)),'ماهانه'!$A$3:$A$10,0)),0)</f>
        <v>0.6392156863</v>
      </c>
      <c r="D25" s="1"/>
      <c r="E25" s="15" t="s">
        <v>126</v>
      </c>
      <c r="F25" s="24">
        <f t="array" ref="F25">IFERROR(INDEX('ماهانه'!$K$3:$K$10,MATCH(INDEX('ورود روزانه'!$E$3:$E$200,MATCH(TODAY(),'ورود روزانه'!$A$3:$A$200,0)),'ماهانه'!$A$3:$A$10,0)),0)</f>
        <v>0</v>
      </c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21.75" customHeight="1">
      <c r="A27" s="1"/>
      <c r="B27" s="5" t="s">
        <v>131</v>
      </c>
      <c r="C27" s="6"/>
      <c r="D27" s="1"/>
      <c r="E27" s="1"/>
      <c r="F27" s="1"/>
      <c r="G27" s="1"/>
    </row>
    <row r="28" ht="19.5" customHeight="1">
      <c r="A28" s="1"/>
      <c r="B28" s="40" t="s">
        <v>132</v>
      </c>
      <c r="C28" s="40" t="s">
        <v>135</v>
      </c>
      <c r="D28" s="40" t="s">
        <v>9</v>
      </c>
      <c r="E28" s="40" t="s">
        <v>137</v>
      </c>
      <c r="F28" s="40" t="s">
        <v>38</v>
      </c>
      <c r="G28" s="1"/>
    </row>
    <row r="29" ht="18.75" customHeight="1">
      <c r="A29" s="1"/>
      <c r="B29" s="7" t="s">
        <v>139</v>
      </c>
      <c r="C29" s="41" t="str">
        <f t="array" ref="C29">IFERROR(INDEX('آزمون ماک'!$D$3:$D$40,MATCH(MAX('آزمون ماک'!$A$3:$A$40),'آزمون ماک'!$A$3:$A$40,0)),"—")</f>
        <v>—</v>
      </c>
      <c r="D29" s="42">
        <v>20.0</v>
      </c>
      <c r="E29" s="42">
        <v>12.0</v>
      </c>
      <c r="F29" s="42" t="str">
        <f t="shared" ref="F29:F32" si="1">IF(N(C29)=0,"هنوز ثبت نشده",IF(C29&gt;=E29,"قبول","زیر مرز"))</f>
        <v>هنوز ثبت نشده</v>
      </c>
      <c r="G29" s="1"/>
    </row>
    <row r="30" ht="18.75" customHeight="1">
      <c r="A30" s="1"/>
      <c r="B30" s="7" t="s">
        <v>149</v>
      </c>
      <c r="C30" s="41" t="str">
        <f t="array" ref="C30">IFERROR(INDEX('آزمون ماک'!$E$3:$E$40,MATCH(MAX('آزمون ماک'!$A$3:$A$40),'آزمون ماک'!$A$3:$A$40,0)),"—")</f>
        <v>—</v>
      </c>
      <c r="D30" s="42">
        <v>20.0</v>
      </c>
      <c r="E30" s="42">
        <v>12.0</v>
      </c>
      <c r="F30" s="42" t="str">
        <f t="shared" si="1"/>
        <v>هنوز ثبت نشده</v>
      </c>
      <c r="G30" s="1"/>
    </row>
    <row r="31" ht="18.75" customHeight="1">
      <c r="A31" s="1"/>
      <c r="B31" s="7" t="s">
        <v>152</v>
      </c>
      <c r="C31" s="41" t="str">
        <f t="array" ref="C31">IFERROR(INDEX('آزمون ماک'!$F$3:$F$40,MATCH(MAX('آزمون ماک'!$A$3:$A$40),'آزمون ماک'!$A$3:$A$40,0)),"—")</f>
        <v>—</v>
      </c>
      <c r="D31" s="42">
        <v>30.0</v>
      </c>
      <c r="E31" s="42">
        <v>18.0</v>
      </c>
      <c r="F31" s="42" t="str">
        <f t="shared" si="1"/>
        <v>هنوز ثبت نشده</v>
      </c>
      <c r="G31" s="1"/>
    </row>
    <row r="32" ht="18.75" customHeight="1">
      <c r="A32" s="1"/>
      <c r="B32" s="7" t="s">
        <v>155</v>
      </c>
      <c r="C32" s="41" t="str">
        <f t="array" ref="C32">IFERROR(INDEX('آزمون ماک'!$I$3:$I$40,MATCH(MAX('آزمون ماک'!$A$3:$A$40),'آزمون ماک'!$A$3:$A$40,0)),"—")</f>
        <v>—</v>
      </c>
      <c r="D32" s="42">
        <v>30.0</v>
      </c>
      <c r="E32" s="42">
        <v>18.0</v>
      </c>
      <c r="F32" s="42" t="str">
        <f t="shared" si="1"/>
        <v>هنوز ثبت نشده</v>
      </c>
      <c r="G32" s="1"/>
    </row>
    <row r="33" ht="15.0" customHeight="1">
      <c r="A33" s="1"/>
      <c r="B33" s="43" t="s">
        <v>158</v>
      </c>
      <c r="C33" s="44" t="str">
        <f>IF(N(C29)+N(C30)+N(C31)=0,"—",N(C29)+N(C30)+N(C31))</f>
        <v>—</v>
      </c>
      <c r="D33" s="45">
        <v>70.0</v>
      </c>
      <c r="E33" s="45">
        <v>42.0</v>
      </c>
      <c r="F33" s="45" t="str">
        <f>IF(N(C33)=0,"هنوز ثبت نشده",IF(C33&gt;=42,"قبول","زیر مرز"))</f>
        <v>هنوز ثبت نشده</v>
      </c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8.75" customHeight="1">
      <c r="A35" s="1"/>
      <c r="B35" s="15" t="s">
        <v>160</v>
      </c>
      <c r="C35" s="46">
        <f>ROUND(SUM('ورود روزانه'!$Y$3:$Y$200)/60,1)</f>
        <v>0</v>
      </c>
      <c r="D35" s="1"/>
      <c r="E35" s="1"/>
      <c r="F35" s="1"/>
      <c r="G35" s="1"/>
    </row>
    <row r="36" ht="24.0" customHeight="1">
      <c r="A36" s="1"/>
      <c r="B36" s="15" t="s">
        <v>163</v>
      </c>
      <c r="C36" s="21">
        <f>ROUND((SUM('ورود روزانه'!$L$3:$L$200)+SUM('ورود روزانه'!$Y$3:$Y$200))/60,1)</f>
        <v>40.8</v>
      </c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conditionalFormatting sqref="F29:F33">
    <cfRule type="cellIs" dxfId="0" priority="1" operator="equal">
      <formula>"قبول"</formula>
    </cfRule>
  </conditionalFormatting>
  <conditionalFormatting sqref="F29:F33">
    <cfRule type="cellIs" dxfId="1" priority="2" operator="equal">
      <formula>"زیر مرز"</formula>
    </cfRule>
  </conditionalFormatting>
  <conditionalFormatting sqref="C16">
    <cfRule type="cellIs" dxfId="2" priority="3" operator="greaterThanOrEqual">
      <formula>7</formula>
    </cfRule>
  </conditionalFormatting>
  <conditionalFormatting sqref="F21">
    <cfRule type="cellIs" dxfId="1" priority="4" operator="equal">
      <formula>"هشدار"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0.0"/>
    <col customWidth="1" min="4" max="4" width="7.0"/>
    <col customWidth="1" min="5" max="5" width="13.0"/>
    <col customWidth="1" min="6" max="6" width="6.0"/>
    <col customWidth="1" min="7" max="7" width="9.0"/>
    <col customWidth="1" min="8" max="8" width="10.0"/>
    <col customWidth="1" min="9" max="10" width="9.0"/>
    <col customWidth="1" min="11" max="11" width="10.0"/>
    <col customWidth="1" min="12" max="14" width="8.0"/>
    <col customWidth="1" min="15" max="15" width="7.0"/>
    <col customWidth="1" min="16" max="17" width="8.0"/>
    <col customWidth="1" min="18" max="18" width="7.0"/>
    <col customWidth="1" min="19" max="19" width="9.0"/>
    <col customWidth="1" min="20" max="20" width="7.0"/>
    <col customWidth="1" min="21" max="21" width="8.0"/>
    <col customWidth="1" min="22" max="22" width="26.0"/>
    <col customWidth="1" min="23" max="24" width="34.0"/>
    <col customWidth="1" min="25" max="25" width="12.0"/>
    <col customWidth="1" min="26" max="26" width="28.0"/>
  </cols>
  <sheetData>
    <row r="1" ht="27.75" customHeight="1">
      <c r="A1" s="2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4" t="s">
        <v>8</v>
      </c>
      <c r="B2" s="4" t="s">
        <v>14</v>
      </c>
      <c r="C2" s="4" t="s">
        <v>11</v>
      </c>
      <c r="D2" s="4" t="s">
        <v>6</v>
      </c>
      <c r="E2" s="4" t="s">
        <v>5</v>
      </c>
      <c r="F2" s="4" t="s">
        <v>20</v>
      </c>
      <c r="G2" s="4" t="s">
        <v>23</v>
      </c>
      <c r="H2" s="4" t="s">
        <v>25</v>
      </c>
      <c r="I2" s="4" t="s">
        <v>28</v>
      </c>
      <c r="J2" s="4" t="s">
        <v>30</v>
      </c>
      <c r="K2" s="4" t="s">
        <v>31</v>
      </c>
      <c r="L2" s="4" t="s">
        <v>12</v>
      </c>
      <c r="M2" s="4" t="s">
        <v>33</v>
      </c>
      <c r="N2" s="4" t="s">
        <v>35</v>
      </c>
      <c r="O2" s="4" t="s">
        <v>37</v>
      </c>
      <c r="P2" s="4" t="s">
        <v>39</v>
      </c>
      <c r="Q2" s="4" t="s">
        <v>41</v>
      </c>
      <c r="R2" s="4" t="s">
        <v>43</v>
      </c>
      <c r="S2" s="4" t="s">
        <v>44</v>
      </c>
      <c r="T2" s="4" t="s">
        <v>16</v>
      </c>
      <c r="U2" s="4" t="s">
        <v>47</v>
      </c>
      <c r="V2" s="4" t="s">
        <v>49</v>
      </c>
      <c r="W2" s="4" t="s">
        <v>50</v>
      </c>
      <c r="X2" s="4" t="s">
        <v>51</v>
      </c>
      <c r="Y2" s="4" t="s">
        <v>27</v>
      </c>
      <c r="Z2" s="4" t="s">
        <v>52</v>
      </c>
    </row>
    <row r="3" ht="18.75" customHeight="1">
      <c r="A3" s="13">
        <v>46271.0</v>
      </c>
      <c r="B3" s="16" t="s">
        <v>57</v>
      </c>
      <c r="C3" s="16" t="s">
        <v>58</v>
      </c>
      <c r="D3" s="12">
        <v>1.0</v>
      </c>
      <c r="E3" s="16" t="s">
        <v>36</v>
      </c>
      <c r="F3" s="12">
        <v>1.0</v>
      </c>
      <c r="G3" s="18">
        <v>1.0</v>
      </c>
      <c r="H3" s="18">
        <v>1.0</v>
      </c>
      <c r="I3" s="18">
        <v>1.0</v>
      </c>
      <c r="J3" s="18">
        <v>1.0</v>
      </c>
      <c r="K3" s="18">
        <v>1.0</v>
      </c>
      <c r="L3" s="22">
        <f t="shared" ref="L3:L198" si="1">N(G3)*30+N(H3)*90+N(I3)*60+N(J3)*60+N(K3)*15</f>
        <v>255</v>
      </c>
      <c r="M3" s="23">
        <v>1.0</v>
      </c>
      <c r="N3" s="23">
        <v>1.0</v>
      </c>
      <c r="O3" s="23">
        <v>1.0</v>
      </c>
      <c r="P3" s="23">
        <v>1.0</v>
      </c>
      <c r="Q3" s="23">
        <v>1.0</v>
      </c>
      <c r="R3" s="23">
        <v>1.0</v>
      </c>
      <c r="S3" s="22">
        <f t="shared" ref="S3:S198" si="2">N(M3)+N(N3)+N(O3)+N(P3)+N(Q3)+N(R3)</f>
        <v>6</v>
      </c>
      <c r="T3" s="22">
        <f t="shared" ref="T3:T198" si="3">N(G3)</f>
        <v>1</v>
      </c>
      <c r="U3" s="22">
        <f t="shared" ref="U3:U198" si="4">IF(N(G3)&gt;0,N(U2)+1,0)</f>
        <v>1</v>
      </c>
      <c r="V3" s="28"/>
      <c r="W3" s="28"/>
      <c r="X3" s="28"/>
      <c r="Y3" s="29"/>
      <c r="Z3" s="28"/>
    </row>
    <row r="4" ht="18.75" customHeight="1">
      <c r="A4" s="13">
        <v>46272.0</v>
      </c>
      <c r="B4" s="16" t="s">
        <v>65</v>
      </c>
      <c r="C4" s="16" t="s">
        <v>66</v>
      </c>
      <c r="D4" s="12">
        <v>1.0</v>
      </c>
      <c r="E4" s="16" t="s">
        <v>36</v>
      </c>
      <c r="F4" s="12">
        <v>1.0</v>
      </c>
      <c r="G4" s="18">
        <v>1.0</v>
      </c>
      <c r="H4" s="18">
        <v>1.0</v>
      </c>
      <c r="I4" s="18">
        <v>1.0</v>
      </c>
      <c r="J4" s="18">
        <v>1.0</v>
      </c>
      <c r="K4" s="18">
        <v>1.0</v>
      </c>
      <c r="L4" s="22">
        <f t="shared" si="1"/>
        <v>255</v>
      </c>
      <c r="M4" s="23">
        <v>1.0</v>
      </c>
      <c r="N4" s="23">
        <v>1.0</v>
      </c>
      <c r="O4" s="23">
        <v>1.0</v>
      </c>
      <c r="P4" s="23">
        <v>1.0</v>
      </c>
      <c r="Q4" s="23">
        <v>1.0</v>
      </c>
      <c r="R4" s="23">
        <v>1.0</v>
      </c>
      <c r="S4" s="22">
        <f t="shared" si="2"/>
        <v>6</v>
      </c>
      <c r="T4" s="22">
        <f t="shared" si="3"/>
        <v>1</v>
      </c>
      <c r="U4" s="22">
        <f t="shared" si="4"/>
        <v>2</v>
      </c>
      <c r="V4" s="31" t="s">
        <v>68</v>
      </c>
      <c r="W4" s="31" t="s">
        <v>69</v>
      </c>
      <c r="X4" s="31" t="s">
        <v>70</v>
      </c>
      <c r="Y4" s="29"/>
      <c r="Z4" s="28"/>
    </row>
    <row r="5" ht="18.75" customHeight="1">
      <c r="A5" s="13">
        <v>46273.0</v>
      </c>
      <c r="B5" s="16" t="s">
        <v>71</v>
      </c>
      <c r="C5" s="16" t="s">
        <v>72</v>
      </c>
      <c r="D5" s="12">
        <v>1.0</v>
      </c>
      <c r="E5" s="16" t="s">
        <v>36</v>
      </c>
      <c r="F5" s="12">
        <v>1.0</v>
      </c>
      <c r="G5" s="18">
        <v>1.0</v>
      </c>
      <c r="H5" s="18">
        <v>1.0</v>
      </c>
      <c r="I5" s="18">
        <v>1.0</v>
      </c>
      <c r="J5" s="18">
        <v>1.0</v>
      </c>
      <c r="K5" s="18">
        <v>1.0</v>
      </c>
      <c r="L5" s="22">
        <f t="shared" si="1"/>
        <v>255</v>
      </c>
      <c r="M5" s="23">
        <v>1.0</v>
      </c>
      <c r="N5" s="23">
        <v>1.0</v>
      </c>
      <c r="O5" s="23">
        <v>1.0</v>
      </c>
      <c r="P5" s="23">
        <v>1.0</v>
      </c>
      <c r="Q5" s="23">
        <v>1.0</v>
      </c>
      <c r="R5" s="23">
        <v>1.0</v>
      </c>
      <c r="S5" s="22">
        <f t="shared" si="2"/>
        <v>6</v>
      </c>
      <c r="T5" s="22">
        <f t="shared" si="3"/>
        <v>1</v>
      </c>
      <c r="U5" s="22">
        <f t="shared" si="4"/>
        <v>3</v>
      </c>
      <c r="V5" s="31" t="s">
        <v>75</v>
      </c>
      <c r="W5" s="31" t="s">
        <v>69</v>
      </c>
      <c r="X5" s="31" t="s">
        <v>76</v>
      </c>
      <c r="Y5" s="29"/>
      <c r="Z5" s="28"/>
    </row>
    <row r="6" ht="18.75" customHeight="1">
      <c r="A6" s="13">
        <v>46274.0</v>
      </c>
      <c r="B6" s="16" t="s">
        <v>77</v>
      </c>
      <c r="C6" s="16" t="s">
        <v>78</v>
      </c>
      <c r="D6" s="12">
        <v>1.0</v>
      </c>
      <c r="E6" s="16" t="s">
        <v>36</v>
      </c>
      <c r="F6" s="12">
        <v>1.0</v>
      </c>
      <c r="G6" s="18">
        <v>1.0</v>
      </c>
      <c r="H6" s="18"/>
      <c r="I6" s="18">
        <v>1.0</v>
      </c>
      <c r="J6" s="18">
        <v>1.0</v>
      </c>
      <c r="K6" s="18"/>
      <c r="L6" s="22">
        <f t="shared" si="1"/>
        <v>150</v>
      </c>
      <c r="M6" s="23">
        <v>1.0</v>
      </c>
      <c r="N6" s="23"/>
      <c r="O6" s="23">
        <v>1.0</v>
      </c>
      <c r="P6" s="23"/>
      <c r="Q6" s="23"/>
      <c r="R6" s="23">
        <v>1.0</v>
      </c>
      <c r="S6" s="22">
        <f t="shared" si="2"/>
        <v>3</v>
      </c>
      <c r="T6" s="22">
        <f t="shared" si="3"/>
        <v>1</v>
      </c>
      <c r="U6" s="22">
        <f t="shared" si="4"/>
        <v>4</v>
      </c>
      <c r="V6" s="31" t="s">
        <v>83</v>
      </c>
      <c r="W6" s="31" t="s">
        <v>69</v>
      </c>
      <c r="X6" s="31" t="s">
        <v>84</v>
      </c>
      <c r="Y6" s="29"/>
      <c r="Z6" s="28"/>
    </row>
    <row r="7" ht="18.75" customHeight="1">
      <c r="A7" s="13">
        <v>46275.0</v>
      </c>
      <c r="B7" s="16" t="s">
        <v>85</v>
      </c>
      <c r="C7" s="16" t="s">
        <v>86</v>
      </c>
      <c r="D7" s="12">
        <v>1.0</v>
      </c>
      <c r="E7" s="16" t="s">
        <v>36</v>
      </c>
      <c r="F7" s="12">
        <v>1.0</v>
      </c>
      <c r="G7" s="18"/>
      <c r="H7" s="18"/>
      <c r="I7" s="18"/>
      <c r="J7" s="18"/>
      <c r="K7" s="18"/>
      <c r="L7" s="22">
        <f t="shared" si="1"/>
        <v>0</v>
      </c>
      <c r="M7" s="23">
        <v>1.0</v>
      </c>
      <c r="N7" s="23">
        <v>1.0</v>
      </c>
      <c r="O7" s="23">
        <v>1.0</v>
      </c>
      <c r="P7" s="23">
        <v>1.0</v>
      </c>
      <c r="Q7" s="23">
        <v>1.0</v>
      </c>
      <c r="R7" s="23">
        <v>1.0</v>
      </c>
      <c r="S7" s="22">
        <f t="shared" si="2"/>
        <v>6</v>
      </c>
      <c r="T7" s="22">
        <f t="shared" si="3"/>
        <v>0</v>
      </c>
      <c r="U7" s="22">
        <f t="shared" si="4"/>
        <v>0</v>
      </c>
      <c r="V7" s="31" t="s">
        <v>87</v>
      </c>
      <c r="W7" s="31" t="s">
        <v>88</v>
      </c>
      <c r="X7" s="28"/>
      <c r="Y7" s="29"/>
      <c r="Z7" s="28"/>
    </row>
    <row r="8" ht="18.75" customHeight="1">
      <c r="A8" s="32">
        <v>46276.0</v>
      </c>
      <c r="B8" s="33" t="s">
        <v>92</v>
      </c>
      <c r="C8" s="33" t="s">
        <v>93</v>
      </c>
      <c r="D8" s="34">
        <v>1.0</v>
      </c>
      <c r="E8" s="33" t="s">
        <v>36</v>
      </c>
      <c r="F8" s="34">
        <v>1.0</v>
      </c>
      <c r="G8" s="18">
        <v>1.0</v>
      </c>
      <c r="H8" s="18">
        <v>1.0</v>
      </c>
      <c r="I8" s="18">
        <v>1.0</v>
      </c>
      <c r="J8" s="18">
        <v>1.0</v>
      </c>
      <c r="K8" s="18">
        <v>1.0</v>
      </c>
      <c r="L8" s="22">
        <f t="shared" si="1"/>
        <v>255</v>
      </c>
      <c r="M8" s="23">
        <v>1.0</v>
      </c>
      <c r="N8" s="23">
        <v>1.0</v>
      </c>
      <c r="O8" s="23">
        <v>1.0</v>
      </c>
      <c r="P8" s="23">
        <v>1.0</v>
      </c>
      <c r="Q8" s="23">
        <v>1.0</v>
      </c>
      <c r="R8" s="23">
        <v>1.0</v>
      </c>
      <c r="S8" s="22">
        <f t="shared" si="2"/>
        <v>6</v>
      </c>
      <c r="T8" s="22">
        <f t="shared" si="3"/>
        <v>1</v>
      </c>
      <c r="U8" s="22">
        <f t="shared" si="4"/>
        <v>1</v>
      </c>
      <c r="V8" s="28"/>
      <c r="W8" s="31" t="s">
        <v>95</v>
      </c>
      <c r="X8" s="31" t="s">
        <v>96</v>
      </c>
      <c r="Y8" s="29"/>
      <c r="Z8" s="28"/>
    </row>
    <row r="9" ht="18.75" customHeight="1">
      <c r="A9" s="13">
        <v>46277.0</v>
      </c>
      <c r="B9" s="16" t="s">
        <v>97</v>
      </c>
      <c r="C9" s="16" t="s">
        <v>98</v>
      </c>
      <c r="D9" s="12">
        <v>1.0</v>
      </c>
      <c r="E9" s="16" t="s">
        <v>36</v>
      </c>
      <c r="F9" s="12">
        <v>1.0</v>
      </c>
      <c r="G9" s="35">
        <v>0.0</v>
      </c>
      <c r="H9" s="18">
        <v>1.0</v>
      </c>
      <c r="I9" s="18">
        <v>1.0</v>
      </c>
      <c r="J9" s="18">
        <v>1.0</v>
      </c>
      <c r="K9" s="35">
        <v>0.0</v>
      </c>
      <c r="L9" s="22">
        <f t="shared" si="1"/>
        <v>210</v>
      </c>
      <c r="M9" s="23">
        <v>1.0</v>
      </c>
      <c r="N9" s="23">
        <v>1.0</v>
      </c>
      <c r="O9" s="23">
        <v>1.0</v>
      </c>
      <c r="P9" s="23">
        <v>1.0</v>
      </c>
      <c r="Q9" s="23">
        <v>1.0</v>
      </c>
      <c r="R9" s="23">
        <v>1.0</v>
      </c>
      <c r="S9" s="22">
        <f t="shared" si="2"/>
        <v>6</v>
      </c>
      <c r="T9" s="22">
        <f t="shared" si="3"/>
        <v>0</v>
      </c>
      <c r="U9" s="22">
        <f t="shared" si="4"/>
        <v>0</v>
      </c>
      <c r="V9" s="28"/>
      <c r="W9" s="28"/>
      <c r="X9" s="36" t="s">
        <v>100</v>
      </c>
      <c r="Y9" s="29"/>
      <c r="Z9" s="28"/>
    </row>
    <row r="10" ht="18.75" customHeight="1">
      <c r="A10" s="13">
        <v>46278.0</v>
      </c>
      <c r="B10" s="16" t="s">
        <v>101</v>
      </c>
      <c r="C10" s="16" t="s">
        <v>58</v>
      </c>
      <c r="D10" s="12">
        <v>2.0</v>
      </c>
      <c r="E10" s="16" t="s">
        <v>36</v>
      </c>
      <c r="F10" s="12">
        <v>1.0</v>
      </c>
      <c r="G10" s="35">
        <v>1.0</v>
      </c>
      <c r="H10" s="35">
        <v>0.0</v>
      </c>
      <c r="I10" s="35">
        <v>1.0</v>
      </c>
      <c r="J10" s="35">
        <v>1.0</v>
      </c>
      <c r="K10" s="35">
        <v>1.0</v>
      </c>
      <c r="L10" s="22">
        <f t="shared" si="1"/>
        <v>165</v>
      </c>
      <c r="M10" s="38">
        <v>1.0</v>
      </c>
      <c r="N10" s="38">
        <v>1.0</v>
      </c>
      <c r="O10" s="38">
        <v>1.0</v>
      </c>
      <c r="P10" s="38">
        <v>1.0</v>
      </c>
      <c r="Q10" s="38">
        <v>1.0</v>
      </c>
      <c r="R10" s="38">
        <v>1.0</v>
      </c>
      <c r="S10" s="22">
        <f t="shared" si="2"/>
        <v>6</v>
      </c>
      <c r="T10" s="22">
        <f t="shared" si="3"/>
        <v>1</v>
      </c>
      <c r="U10" s="22">
        <f t="shared" si="4"/>
        <v>1</v>
      </c>
      <c r="V10" s="39" t="s">
        <v>105</v>
      </c>
      <c r="W10" s="39" t="s">
        <v>106</v>
      </c>
      <c r="X10" s="39" t="s">
        <v>108</v>
      </c>
      <c r="Y10" s="29"/>
      <c r="Z10" s="28"/>
    </row>
    <row r="11" ht="18.75" customHeight="1">
      <c r="A11" s="13">
        <v>46279.0</v>
      </c>
      <c r="B11" s="16" t="s">
        <v>109</v>
      </c>
      <c r="C11" s="16" t="s">
        <v>66</v>
      </c>
      <c r="D11" s="12">
        <v>2.0</v>
      </c>
      <c r="E11" s="16" t="s">
        <v>36</v>
      </c>
      <c r="F11" s="12">
        <v>1.0</v>
      </c>
      <c r="G11" s="35">
        <v>1.0</v>
      </c>
      <c r="H11" s="35">
        <v>1.0</v>
      </c>
      <c r="I11" s="35">
        <v>0.0</v>
      </c>
      <c r="J11" s="35">
        <v>0.0</v>
      </c>
      <c r="K11" s="35">
        <v>1.0</v>
      </c>
      <c r="L11" s="22">
        <f t="shared" si="1"/>
        <v>135</v>
      </c>
      <c r="M11" s="38">
        <v>0.0</v>
      </c>
      <c r="N11" s="38">
        <v>1.0</v>
      </c>
      <c r="O11" s="38">
        <v>1.0</v>
      </c>
      <c r="P11" s="38">
        <v>1.0</v>
      </c>
      <c r="Q11" s="38">
        <v>1.0</v>
      </c>
      <c r="R11" s="38">
        <v>1.0</v>
      </c>
      <c r="S11" s="22">
        <f t="shared" si="2"/>
        <v>5</v>
      </c>
      <c r="T11" s="22">
        <f t="shared" si="3"/>
        <v>1</v>
      </c>
      <c r="U11" s="22">
        <f t="shared" si="4"/>
        <v>2</v>
      </c>
      <c r="V11" s="39" t="s">
        <v>112</v>
      </c>
      <c r="W11" s="39" t="s">
        <v>113</v>
      </c>
      <c r="X11" s="28"/>
      <c r="Y11" s="29"/>
      <c r="Z11" s="28"/>
    </row>
    <row r="12" ht="18.75" customHeight="1">
      <c r="A12" s="13">
        <v>46280.0</v>
      </c>
      <c r="B12" s="16" t="s">
        <v>114</v>
      </c>
      <c r="C12" s="16" t="s">
        <v>72</v>
      </c>
      <c r="D12" s="12">
        <v>2.0</v>
      </c>
      <c r="E12" s="16" t="s">
        <v>36</v>
      </c>
      <c r="F12" s="12">
        <v>1.0</v>
      </c>
      <c r="G12" s="35">
        <v>1.0</v>
      </c>
      <c r="H12" s="35">
        <v>0.0</v>
      </c>
      <c r="I12" s="35">
        <v>0.0</v>
      </c>
      <c r="J12" s="35">
        <v>0.0</v>
      </c>
      <c r="K12" s="35">
        <v>0.0</v>
      </c>
      <c r="L12" s="22">
        <f t="shared" si="1"/>
        <v>30</v>
      </c>
      <c r="M12" s="38">
        <v>1.0</v>
      </c>
      <c r="N12" s="38">
        <v>1.0</v>
      </c>
      <c r="O12" s="38">
        <v>1.0</v>
      </c>
      <c r="P12" s="38">
        <v>1.0</v>
      </c>
      <c r="Q12" s="38">
        <v>1.0</v>
      </c>
      <c r="R12" s="38">
        <v>1.0</v>
      </c>
      <c r="S12" s="22">
        <f t="shared" si="2"/>
        <v>6</v>
      </c>
      <c r="T12" s="22">
        <f t="shared" si="3"/>
        <v>1</v>
      </c>
      <c r="U12" s="22">
        <f t="shared" si="4"/>
        <v>3</v>
      </c>
      <c r="V12" s="39" t="s">
        <v>118</v>
      </c>
      <c r="W12" s="39" t="s">
        <v>119</v>
      </c>
      <c r="X12" s="28"/>
      <c r="Y12" s="29"/>
      <c r="Z12" s="28"/>
    </row>
    <row r="13" ht="18.75" customHeight="1">
      <c r="A13" s="13">
        <v>46281.0</v>
      </c>
      <c r="B13" s="16" t="s">
        <v>120</v>
      </c>
      <c r="C13" s="16" t="s">
        <v>78</v>
      </c>
      <c r="D13" s="12">
        <v>2.0</v>
      </c>
      <c r="E13" s="16" t="s">
        <v>36</v>
      </c>
      <c r="F13" s="12">
        <v>1.0</v>
      </c>
      <c r="G13" s="35">
        <v>0.0</v>
      </c>
      <c r="H13" s="35">
        <v>1.0</v>
      </c>
      <c r="I13" s="35">
        <v>1.0</v>
      </c>
      <c r="J13" s="35">
        <v>0.0</v>
      </c>
      <c r="K13" s="35">
        <v>1.0</v>
      </c>
      <c r="L13" s="22">
        <f t="shared" si="1"/>
        <v>165</v>
      </c>
      <c r="M13" s="38">
        <v>1.0</v>
      </c>
      <c r="N13" s="38">
        <v>1.0</v>
      </c>
      <c r="O13" s="38">
        <v>0.0</v>
      </c>
      <c r="P13" s="38">
        <v>1.0</v>
      </c>
      <c r="Q13" s="38">
        <v>1.0</v>
      </c>
      <c r="R13" s="38">
        <v>1.0</v>
      </c>
      <c r="S13" s="22">
        <f t="shared" si="2"/>
        <v>5</v>
      </c>
      <c r="T13" s="22">
        <f t="shared" si="3"/>
        <v>0</v>
      </c>
      <c r="U13" s="22">
        <f t="shared" si="4"/>
        <v>0</v>
      </c>
      <c r="V13" s="39" t="s">
        <v>122</v>
      </c>
      <c r="W13" s="39" t="s">
        <v>123</v>
      </c>
      <c r="X13" s="39" t="s">
        <v>124</v>
      </c>
      <c r="Y13" s="29"/>
      <c r="Z13" s="28"/>
    </row>
    <row r="14" ht="18.75" customHeight="1">
      <c r="A14" s="13">
        <v>46282.0</v>
      </c>
      <c r="B14" s="16" t="s">
        <v>125</v>
      </c>
      <c r="C14" s="16" t="s">
        <v>86</v>
      </c>
      <c r="D14" s="12">
        <v>2.0</v>
      </c>
      <c r="E14" s="16" t="s">
        <v>36</v>
      </c>
      <c r="F14" s="12">
        <v>1.0</v>
      </c>
      <c r="G14" s="35">
        <v>1.0</v>
      </c>
      <c r="H14" s="35">
        <v>0.0</v>
      </c>
      <c r="I14" s="35">
        <v>1.0</v>
      </c>
      <c r="J14" s="35">
        <v>0.0</v>
      </c>
      <c r="K14" s="35">
        <v>1.0</v>
      </c>
      <c r="L14" s="22">
        <f t="shared" si="1"/>
        <v>105</v>
      </c>
      <c r="M14" s="38">
        <v>1.0</v>
      </c>
      <c r="N14" s="38">
        <v>1.0</v>
      </c>
      <c r="O14" s="38">
        <v>1.0</v>
      </c>
      <c r="P14" s="38">
        <v>1.0</v>
      </c>
      <c r="Q14" s="38">
        <v>1.0</v>
      </c>
      <c r="R14" s="38">
        <v>1.0</v>
      </c>
      <c r="S14" s="22">
        <f t="shared" si="2"/>
        <v>6</v>
      </c>
      <c r="T14" s="22">
        <f t="shared" si="3"/>
        <v>1</v>
      </c>
      <c r="U14" s="22">
        <f t="shared" si="4"/>
        <v>1</v>
      </c>
      <c r="V14" s="39" t="s">
        <v>127</v>
      </c>
      <c r="W14" s="39" t="s">
        <v>128</v>
      </c>
      <c r="X14" s="39" t="s">
        <v>129</v>
      </c>
      <c r="Y14" s="29"/>
      <c r="Z14" s="28"/>
    </row>
    <row r="15" ht="18.75" customHeight="1">
      <c r="A15" s="32">
        <v>46283.0</v>
      </c>
      <c r="B15" s="33" t="s">
        <v>130</v>
      </c>
      <c r="C15" s="33" t="s">
        <v>93</v>
      </c>
      <c r="D15" s="34">
        <v>2.0</v>
      </c>
      <c r="E15" s="33" t="s">
        <v>36</v>
      </c>
      <c r="F15" s="34">
        <v>1.0</v>
      </c>
      <c r="G15" s="35">
        <v>1.0</v>
      </c>
      <c r="H15" s="35">
        <v>0.0</v>
      </c>
      <c r="I15" s="35">
        <v>0.0</v>
      </c>
      <c r="J15" s="35">
        <v>0.0</v>
      </c>
      <c r="K15" s="35">
        <v>0.0</v>
      </c>
      <c r="L15" s="22">
        <f t="shared" si="1"/>
        <v>30</v>
      </c>
      <c r="M15" s="38">
        <v>0.0</v>
      </c>
      <c r="N15" s="38">
        <v>1.0</v>
      </c>
      <c r="O15" s="38">
        <v>1.0</v>
      </c>
      <c r="P15" s="38">
        <v>1.0</v>
      </c>
      <c r="Q15" s="38">
        <v>1.0</v>
      </c>
      <c r="R15" s="38">
        <v>0.0</v>
      </c>
      <c r="S15" s="22">
        <f t="shared" si="2"/>
        <v>4</v>
      </c>
      <c r="T15" s="22">
        <f t="shared" si="3"/>
        <v>1</v>
      </c>
      <c r="U15" s="22">
        <f t="shared" si="4"/>
        <v>2</v>
      </c>
      <c r="V15" s="39" t="s">
        <v>134</v>
      </c>
      <c r="W15" s="39" t="s">
        <v>136</v>
      </c>
      <c r="X15" s="39" t="s">
        <v>124</v>
      </c>
      <c r="Y15" s="29"/>
      <c r="Z15" s="28"/>
    </row>
    <row r="16" ht="18.75" customHeight="1">
      <c r="A16" s="13">
        <v>46284.0</v>
      </c>
      <c r="B16" s="16" t="s">
        <v>138</v>
      </c>
      <c r="C16" s="16" t="s">
        <v>98</v>
      </c>
      <c r="D16" s="12">
        <v>2.0</v>
      </c>
      <c r="E16" s="16" t="s">
        <v>36</v>
      </c>
      <c r="F16" s="12">
        <v>1.0</v>
      </c>
      <c r="G16" s="35">
        <v>1.0</v>
      </c>
      <c r="H16" s="35">
        <v>1.0</v>
      </c>
      <c r="I16" s="35">
        <v>1.0</v>
      </c>
      <c r="J16" s="35">
        <v>1.0</v>
      </c>
      <c r="K16" s="35">
        <v>0.0</v>
      </c>
      <c r="L16" s="22">
        <f t="shared" si="1"/>
        <v>240</v>
      </c>
      <c r="M16" s="38">
        <v>0.0</v>
      </c>
      <c r="N16" s="38">
        <v>1.0</v>
      </c>
      <c r="O16" s="38">
        <v>1.0</v>
      </c>
      <c r="P16" s="38">
        <v>1.0</v>
      </c>
      <c r="Q16" s="38">
        <v>1.0</v>
      </c>
      <c r="R16" s="38">
        <v>1.0</v>
      </c>
      <c r="S16" s="22">
        <f t="shared" si="2"/>
        <v>5</v>
      </c>
      <c r="T16" s="22">
        <f t="shared" si="3"/>
        <v>1</v>
      </c>
      <c r="U16" s="22">
        <f t="shared" si="4"/>
        <v>3</v>
      </c>
      <c r="V16" s="39" t="s">
        <v>141</v>
      </c>
      <c r="W16" s="39" t="s">
        <v>142</v>
      </c>
      <c r="X16" s="39" t="s">
        <v>143</v>
      </c>
      <c r="Y16" s="29"/>
      <c r="Z16" s="28"/>
    </row>
    <row r="17" ht="18.75" customHeight="1">
      <c r="A17" s="13">
        <v>46285.0</v>
      </c>
      <c r="B17" s="16" t="s">
        <v>144</v>
      </c>
      <c r="C17" s="16" t="s">
        <v>58</v>
      </c>
      <c r="D17" s="12">
        <v>3.0</v>
      </c>
      <c r="E17" s="16" t="s">
        <v>36</v>
      </c>
      <c r="F17" s="12">
        <v>1.0</v>
      </c>
      <c r="G17" s="35">
        <v>1.0</v>
      </c>
      <c r="H17" s="35">
        <v>0.0</v>
      </c>
      <c r="I17" s="35">
        <v>1.0</v>
      </c>
      <c r="J17" s="35">
        <v>1.0</v>
      </c>
      <c r="K17" s="35">
        <v>1.0</v>
      </c>
      <c r="L17" s="22">
        <f t="shared" si="1"/>
        <v>165</v>
      </c>
      <c r="M17" s="38">
        <v>1.0</v>
      </c>
      <c r="N17" s="38">
        <v>1.0</v>
      </c>
      <c r="O17" s="38">
        <v>1.0</v>
      </c>
      <c r="P17" s="38">
        <v>1.0</v>
      </c>
      <c r="Q17" s="38">
        <v>1.0</v>
      </c>
      <c r="R17" s="38">
        <v>1.0</v>
      </c>
      <c r="S17" s="22">
        <f t="shared" si="2"/>
        <v>6</v>
      </c>
      <c r="T17" s="22">
        <f t="shared" si="3"/>
        <v>1</v>
      </c>
      <c r="U17" s="22">
        <f t="shared" si="4"/>
        <v>4</v>
      </c>
      <c r="V17" s="39" t="s">
        <v>145</v>
      </c>
      <c r="W17" s="39" t="s">
        <v>146</v>
      </c>
      <c r="X17" s="39" t="s">
        <v>147</v>
      </c>
      <c r="Y17" s="29"/>
      <c r="Z17" s="28"/>
    </row>
    <row r="18" ht="18.75" customHeight="1">
      <c r="A18" s="13">
        <v>46286.0</v>
      </c>
      <c r="B18" s="16" t="s">
        <v>148</v>
      </c>
      <c r="C18" s="16" t="s">
        <v>66</v>
      </c>
      <c r="D18" s="12">
        <v>3.0</v>
      </c>
      <c r="E18" s="16" t="s">
        <v>36</v>
      </c>
      <c r="F18" s="12">
        <v>1.0</v>
      </c>
      <c r="G18" s="35">
        <v>1.0</v>
      </c>
      <c r="H18" s="35">
        <v>0.0</v>
      </c>
      <c r="I18" s="35">
        <v>0.0</v>
      </c>
      <c r="J18" s="35">
        <v>0.0</v>
      </c>
      <c r="K18" s="35">
        <v>0.0</v>
      </c>
      <c r="L18" s="22">
        <f t="shared" si="1"/>
        <v>30</v>
      </c>
      <c r="M18" s="38">
        <v>0.0</v>
      </c>
      <c r="N18" s="38">
        <v>1.0</v>
      </c>
      <c r="O18" s="38">
        <v>0.0</v>
      </c>
      <c r="P18" s="38">
        <v>1.0</v>
      </c>
      <c r="Q18" s="38">
        <v>1.0</v>
      </c>
      <c r="R18" s="38">
        <v>1.0</v>
      </c>
      <c r="S18" s="22">
        <f t="shared" si="2"/>
        <v>4</v>
      </c>
      <c r="T18" s="22">
        <f t="shared" si="3"/>
        <v>1</v>
      </c>
      <c r="U18" s="22">
        <f t="shared" si="4"/>
        <v>5</v>
      </c>
      <c r="V18" s="39" t="s">
        <v>150</v>
      </c>
      <c r="W18" s="28"/>
      <c r="X18" s="28"/>
      <c r="Y18" s="29"/>
      <c r="Z18" s="28"/>
    </row>
    <row r="19" ht="18.75" customHeight="1">
      <c r="A19" s="13">
        <v>46287.0</v>
      </c>
      <c r="B19" s="16" t="s">
        <v>151</v>
      </c>
      <c r="C19" s="16" t="s">
        <v>72</v>
      </c>
      <c r="D19" s="12">
        <v>3.0</v>
      </c>
      <c r="E19" s="16" t="s">
        <v>36</v>
      </c>
      <c r="F19" s="12">
        <v>1.0</v>
      </c>
      <c r="G19" s="18"/>
      <c r="H19" s="18"/>
      <c r="I19" s="18"/>
      <c r="J19" s="18"/>
      <c r="K19" s="18"/>
      <c r="L19" s="22">
        <f t="shared" si="1"/>
        <v>0</v>
      </c>
      <c r="M19" s="23"/>
      <c r="N19" s="23"/>
      <c r="O19" s="23"/>
      <c r="P19" s="23"/>
      <c r="Q19" s="23"/>
      <c r="R19" s="23"/>
      <c r="S19" s="22">
        <f t="shared" si="2"/>
        <v>0</v>
      </c>
      <c r="T19" s="22">
        <f t="shared" si="3"/>
        <v>0</v>
      </c>
      <c r="U19" s="22">
        <f t="shared" si="4"/>
        <v>0</v>
      </c>
      <c r="V19" s="28"/>
      <c r="W19" s="28"/>
      <c r="X19" s="28"/>
      <c r="Y19" s="29"/>
      <c r="Z19" s="28"/>
    </row>
    <row r="20" ht="18.75" customHeight="1">
      <c r="A20" s="13">
        <v>46288.0</v>
      </c>
      <c r="B20" s="16" t="s">
        <v>153</v>
      </c>
      <c r="C20" s="16" t="s">
        <v>78</v>
      </c>
      <c r="D20" s="12">
        <v>3.0</v>
      </c>
      <c r="E20" s="16" t="s">
        <v>91</v>
      </c>
      <c r="F20" s="12">
        <v>1.0</v>
      </c>
      <c r="G20" s="18"/>
      <c r="H20" s="18"/>
      <c r="I20" s="18"/>
      <c r="J20" s="18"/>
      <c r="K20" s="18"/>
      <c r="L20" s="22">
        <f t="shared" si="1"/>
        <v>0</v>
      </c>
      <c r="M20" s="23"/>
      <c r="N20" s="23"/>
      <c r="O20" s="23"/>
      <c r="P20" s="23"/>
      <c r="Q20" s="23"/>
      <c r="R20" s="23"/>
      <c r="S20" s="22">
        <f t="shared" si="2"/>
        <v>0</v>
      </c>
      <c r="T20" s="22">
        <f t="shared" si="3"/>
        <v>0</v>
      </c>
      <c r="U20" s="22">
        <f t="shared" si="4"/>
        <v>0</v>
      </c>
      <c r="V20" s="28"/>
      <c r="W20" s="28"/>
      <c r="X20" s="28"/>
      <c r="Y20" s="29"/>
      <c r="Z20" s="28"/>
    </row>
    <row r="21" ht="18.75" customHeight="1">
      <c r="A21" s="13">
        <v>46289.0</v>
      </c>
      <c r="B21" s="16" t="s">
        <v>157</v>
      </c>
      <c r="C21" s="16" t="s">
        <v>86</v>
      </c>
      <c r="D21" s="12">
        <v>3.0</v>
      </c>
      <c r="E21" s="16" t="s">
        <v>91</v>
      </c>
      <c r="F21" s="12">
        <v>1.0</v>
      </c>
      <c r="G21" s="18"/>
      <c r="H21" s="18"/>
      <c r="I21" s="18"/>
      <c r="J21" s="18"/>
      <c r="K21" s="18"/>
      <c r="L21" s="22">
        <f t="shared" si="1"/>
        <v>0</v>
      </c>
      <c r="M21" s="23"/>
      <c r="N21" s="23"/>
      <c r="O21" s="23"/>
      <c r="P21" s="23"/>
      <c r="Q21" s="23"/>
      <c r="R21" s="23"/>
      <c r="S21" s="22">
        <f t="shared" si="2"/>
        <v>0</v>
      </c>
      <c r="T21" s="22">
        <f t="shared" si="3"/>
        <v>0</v>
      </c>
      <c r="U21" s="22">
        <f t="shared" si="4"/>
        <v>0</v>
      </c>
      <c r="V21" s="28"/>
      <c r="W21" s="28"/>
      <c r="X21" s="28"/>
      <c r="Y21" s="29"/>
      <c r="Z21" s="28"/>
    </row>
    <row r="22" ht="18.75" customHeight="1">
      <c r="A22" s="32">
        <v>46290.0</v>
      </c>
      <c r="B22" s="33" t="s">
        <v>159</v>
      </c>
      <c r="C22" s="33" t="s">
        <v>93</v>
      </c>
      <c r="D22" s="34">
        <v>3.0</v>
      </c>
      <c r="E22" s="33" t="s">
        <v>91</v>
      </c>
      <c r="F22" s="34">
        <v>1.0</v>
      </c>
      <c r="G22" s="18"/>
      <c r="H22" s="18"/>
      <c r="I22" s="18"/>
      <c r="J22" s="18"/>
      <c r="K22" s="18"/>
      <c r="L22" s="22">
        <f t="shared" si="1"/>
        <v>0</v>
      </c>
      <c r="M22" s="23"/>
      <c r="N22" s="23"/>
      <c r="O22" s="23"/>
      <c r="P22" s="23"/>
      <c r="Q22" s="23"/>
      <c r="R22" s="23"/>
      <c r="S22" s="22">
        <f t="shared" si="2"/>
        <v>0</v>
      </c>
      <c r="T22" s="22">
        <f t="shared" si="3"/>
        <v>0</v>
      </c>
      <c r="U22" s="22">
        <f t="shared" si="4"/>
        <v>0</v>
      </c>
      <c r="V22" s="28"/>
      <c r="W22" s="28"/>
      <c r="X22" s="28"/>
      <c r="Y22" s="29"/>
      <c r="Z22" s="28"/>
    </row>
    <row r="23" ht="18.75" customHeight="1">
      <c r="A23" s="13">
        <v>46291.0</v>
      </c>
      <c r="B23" s="16" t="s">
        <v>161</v>
      </c>
      <c r="C23" s="16" t="s">
        <v>98</v>
      </c>
      <c r="D23" s="12">
        <v>3.0</v>
      </c>
      <c r="E23" s="16" t="s">
        <v>91</v>
      </c>
      <c r="F23" s="12">
        <v>1.0</v>
      </c>
      <c r="G23" s="18"/>
      <c r="H23" s="18"/>
      <c r="I23" s="18"/>
      <c r="J23" s="18"/>
      <c r="K23" s="18"/>
      <c r="L23" s="22">
        <f t="shared" si="1"/>
        <v>0</v>
      </c>
      <c r="M23" s="23"/>
      <c r="N23" s="23"/>
      <c r="O23" s="23"/>
      <c r="P23" s="23"/>
      <c r="Q23" s="23"/>
      <c r="R23" s="23"/>
      <c r="S23" s="22">
        <f t="shared" si="2"/>
        <v>0</v>
      </c>
      <c r="T23" s="22">
        <f t="shared" si="3"/>
        <v>0</v>
      </c>
      <c r="U23" s="22">
        <f t="shared" si="4"/>
        <v>0</v>
      </c>
      <c r="V23" s="28"/>
      <c r="W23" s="28"/>
      <c r="X23" s="28"/>
      <c r="Y23" s="29"/>
      <c r="Z23" s="28"/>
    </row>
    <row r="24" ht="18.75" customHeight="1">
      <c r="A24" s="13">
        <v>46292.0</v>
      </c>
      <c r="B24" s="16" t="s">
        <v>164</v>
      </c>
      <c r="C24" s="16" t="s">
        <v>58</v>
      </c>
      <c r="D24" s="12">
        <v>4.0</v>
      </c>
      <c r="E24" s="16" t="s">
        <v>91</v>
      </c>
      <c r="F24" s="12">
        <v>1.0</v>
      </c>
      <c r="G24" s="18"/>
      <c r="H24" s="18"/>
      <c r="I24" s="18"/>
      <c r="J24" s="18"/>
      <c r="K24" s="18"/>
      <c r="L24" s="22">
        <f t="shared" si="1"/>
        <v>0</v>
      </c>
      <c r="M24" s="23"/>
      <c r="N24" s="23"/>
      <c r="O24" s="23"/>
      <c r="P24" s="23"/>
      <c r="Q24" s="23"/>
      <c r="R24" s="23"/>
      <c r="S24" s="22">
        <f t="shared" si="2"/>
        <v>0</v>
      </c>
      <c r="T24" s="22">
        <f t="shared" si="3"/>
        <v>0</v>
      </c>
      <c r="U24" s="22">
        <f t="shared" si="4"/>
        <v>0</v>
      </c>
      <c r="V24" s="28"/>
      <c r="W24" s="28"/>
      <c r="X24" s="28"/>
      <c r="Y24" s="29"/>
      <c r="Z24" s="28"/>
    </row>
    <row r="25" ht="18.75" customHeight="1">
      <c r="A25" s="13">
        <v>46293.0</v>
      </c>
      <c r="B25" s="16" t="s">
        <v>165</v>
      </c>
      <c r="C25" s="16" t="s">
        <v>66</v>
      </c>
      <c r="D25" s="12">
        <v>4.0</v>
      </c>
      <c r="E25" s="16" t="s">
        <v>91</v>
      </c>
      <c r="F25" s="12">
        <v>1.0</v>
      </c>
      <c r="G25" s="18"/>
      <c r="H25" s="18"/>
      <c r="I25" s="18"/>
      <c r="J25" s="18"/>
      <c r="K25" s="18"/>
      <c r="L25" s="22">
        <f t="shared" si="1"/>
        <v>0</v>
      </c>
      <c r="M25" s="23"/>
      <c r="N25" s="23"/>
      <c r="O25" s="23"/>
      <c r="P25" s="23"/>
      <c r="Q25" s="23"/>
      <c r="R25" s="23"/>
      <c r="S25" s="22">
        <f t="shared" si="2"/>
        <v>0</v>
      </c>
      <c r="T25" s="22">
        <f t="shared" si="3"/>
        <v>0</v>
      </c>
      <c r="U25" s="22">
        <f t="shared" si="4"/>
        <v>0</v>
      </c>
      <c r="V25" s="28"/>
      <c r="W25" s="28"/>
      <c r="X25" s="28"/>
      <c r="Y25" s="29"/>
      <c r="Z25" s="28"/>
    </row>
    <row r="26" ht="18.75" customHeight="1">
      <c r="A26" s="13">
        <v>46294.0</v>
      </c>
      <c r="B26" s="16" t="s">
        <v>167</v>
      </c>
      <c r="C26" s="16" t="s">
        <v>72</v>
      </c>
      <c r="D26" s="12">
        <v>4.0</v>
      </c>
      <c r="E26" s="16" t="s">
        <v>91</v>
      </c>
      <c r="F26" s="12">
        <v>1.0</v>
      </c>
      <c r="G26" s="18"/>
      <c r="H26" s="18"/>
      <c r="I26" s="18"/>
      <c r="J26" s="18"/>
      <c r="K26" s="18"/>
      <c r="L26" s="22">
        <f t="shared" si="1"/>
        <v>0</v>
      </c>
      <c r="M26" s="23"/>
      <c r="N26" s="23"/>
      <c r="O26" s="23"/>
      <c r="P26" s="23"/>
      <c r="Q26" s="23"/>
      <c r="R26" s="23"/>
      <c r="S26" s="22">
        <f t="shared" si="2"/>
        <v>0</v>
      </c>
      <c r="T26" s="22">
        <f t="shared" si="3"/>
        <v>0</v>
      </c>
      <c r="U26" s="22">
        <f t="shared" si="4"/>
        <v>0</v>
      </c>
      <c r="V26" s="28"/>
      <c r="W26" s="28"/>
      <c r="X26" s="28"/>
      <c r="Y26" s="29"/>
      <c r="Z26" s="28"/>
    </row>
    <row r="27" ht="18.75" customHeight="1">
      <c r="A27" s="13">
        <v>46295.0</v>
      </c>
      <c r="B27" s="16" t="s">
        <v>168</v>
      </c>
      <c r="C27" s="16" t="s">
        <v>78</v>
      </c>
      <c r="D27" s="12">
        <v>4.0</v>
      </c>
      <c r="E27" s="16" t="s">
        <v>91</v>
      </c>
      <c r="F27" s="12">
        <v>1.0</v>
      </c>
      <c r="G27" s="18"/>
      <c r="H27" s="18"/>
      <c r="I27" s="18"/>
      <c r="J27" s="18"/>
      <c r="K27" s="18"/>
      <c r="L27" s="22">
        <f t="shared" si="1"/>
        <v>0</v>
      </c>
      <c r="M27" s="23"/>
      <c r="N27" s="23"/>
      <c r="O27" s="23"/>
      <c r="P27" s="23"/>
      <c r="Q27" s="23"/>
      <c r="R27" s="23"/>
      <c r="S27" s="22">
        <f t="shared" si="2"/>
        <v>0</v>
      </c>
      <c r="T27" s="22">
        <f t="shared" si="3"/>
        <v>0</v>
      </c>
      <c r="U27" s="22">
        <f t="shared" si="4"/>
        <v>0</v>
      </c>
      <c r="V27" s="28"/>
      <c r="W27" s="28"/>
      <c r="X27" s="28"/>
      <c r="Y27" s="29"/>
      <c r="Z27" s="28"/>
    </row>
    <row r="28" ht="18.75" customHeight="1">
      <c r="A28" s="13">
        <v>46296.0</v>
      </c>
      <c r="B28" s="16" t="s">
        <v>170</v>
      </c>
      <c r="C28" s="16" t="s">
        <v>86</v>
      </c>
      <c r="D28" s="12">
        <v>4.0</v>
      </c>
      <c r="E28" s="16" t="s">
        <v>91</v>
      </c>
      <c r="F28" s="12">
        <v>1.0</v>
      </c>
      <c r="G28" s="18"/>
      <c r="H28" s="18"/>
      <c r="I28" s="18"/>
      <c r="J28" s="18"/>
      <c r="K28" s="18"/>
      <c r="L28" s="22">
        <f t="shared" si="1"/>
        <v>0</v>
      </c>
      <c r="M28" s="23"/>
      <c r="N28" s="23"/>
      <c r="O28" s="23"/>
      <c r="P28" s="23"/>
      <c r="Q28" s="23"/>
      <c r="R28" s="23"/>
      <c r="S28" s="22">
        <f t="shared" si="2"/>
        <v>0</v>
      </c>
      <c r="T28" s="22">
        <f t="shared" si="3"/>
        <v>0</v>
      </c>
      <c r="U28" s="22">
        <f t="shared" si="4"/>
        <v>0</v>
      </c>
      <c r="V28" s="28"/>
      <c r="W28" s="28"/>
      <c r="X28" s="28"/>
      <c r="Y28" s="29"/>
      <c r="Z28" s="28"/>
    </row>
    <row r="29" ht="18.75" customHeight="1">
      <c r="A29" s="32">
        <v>46297.0</v>
      </c>
      <c r="B29" s="33" t="s">
        <v>171</v>
      </c>
      <c r="C29" s="33" t="s">
        <v>93</v>
      </c>
      <c r="D29" s="34">
        <v>4.0</v>
      </c>
      <c r="E29" s="33" t="s">
        <v>91</v>
      </c>
      <c r="F29" s="34">
        <v>1.0</v>
      </c>
      <c r="G29" s="18"/>
      <c r="H29" s="18"/>
      <c r="I29" s="18"/>
      <c r="J29" s="18"/>
      <c r="K29" s="18"/>
      <c r="L29" s="22">
        <f t="shared" si="1"/>
        <v>0</v>
      </c>
      <c r="M29" s="23"/>
      <c r="N29" s="23"/>
      <c r="O29" s="23"/>
      <c r="P29" s="23"/>
      <c r="Q29" s="23"/>
      <c r="R29" s="23"/>
      <c r="S29" s="22">
        <f t="shared" si="2"/>
        <v>0</v>
      </c>
      <c r="T29" s="22">
        <f t="shared" si="3"/>
        <v>0</v>
      </c>
      <c r="U29" s="22">
        <f t="shared" si="4"/>
        <v>0</v>
      </c>
      <c r="V29" s="28"/>
      <c r="W29" s="28"/>
      <c r="X29" s="28"/>
      <c r="Y29" s="29"/>
      <c r="Z29" s="28"/>
    </row>
    <row r="30" ht="18.75" customHeight="1">
      <c r="A30" s="13">
        <v>46298.0</v>
      </c>
      <c r="B30" s="16" t="s">
        <v>172</v>
      </c>
      <c r="C30" s="16" t="s">
        <v>98</v>
      </c>
      <c r="D30" s="12">
        <v>4.0</v>
      </c>
      <c r="E30" s="16" t="s">
        <v>91</v>
      </c>
      <c r="F30" s="12">
        <v>1.0</v>
      </c>
      <c r="G30" s="18"/>
      <c r="H30" s="18"/>
      <c r="I30" s="18"/>
      <c r="J30" s="18"/>
      <c r="K30" s="18"/>
      <c r="L30" s="22">
        <f t="shared" si="1"/>
        <v>0</v>
      </c>
      <c r="M30" s="23"/>
      <c r="N30" s="23"/>
      <c r="O30" s="23"/>
      <c r="P30" s="23"/>
      <c r="Q30" s="23"/>
      <c r="R30" s="23"/>
      <c r="S30" s="22">
        <f t="shared" si="2"/>
        <v>0</v>
      </c>
      <c r="T30" s="22">
        <f t="shared" si="3"/>
        <v>0</v>
      </c>
      <c r="U30" s="22">
        <f t="shared" si="4"/>
        <v>0</v>
      </c>
      <c r="V30" s="28"/>
      <c r="W30" s="28"/>
      <c r="X30" s="28"/>
      <c r="Y30" s="29"/>
      <c r="Z30" s="28"/>
    </row>
    <row r="31" ht="18.75" customHeight="1">
      <c r="A31" s="13">
        <v>46299.0</v>
      </c>
      <c r="B31" s="16" t="s">
        <v>174</v>
      </c>
      <c r="C31" s="16" t="s">
        <v>58</v>
      </c>
      <c r="D31" s="12">
        <v>5.0</v>
      </c>
      <c r="E31" s="16" t="s">
        <v>91</v>
      </c>
      <c r="F31" s="12">
        <v>1.0</v>
      </c>
      <c r="G31" s="18"/>
      <c r="H31" s="18"/>
      <c r="I31" s="18"/>
      <c r="J31" s="18"/>
      <c r="K31" s="18"/>
      <c r="L31" s="22">
        <f t="shared" si="1"/>
        <v>0</v>
      </c>
      <c r="M31" s="23"/>
      <c r="N31" s="23"/>
      <c r="O31" s="23"/>
      <c r="P31" s="23"/>
      <c r="Q31" s="23"/>
      <c r="R31" s="23"/>
      <c r="S31" s="22">
        <f t="shared" si="2"/>
        <v>0</v>
      </c>
      <c r="T31" s="22">
        <f t="shared" si="3"/>
        <v>0</v>
      </c>
      <c r="U31" s="22">
        <f t="shared" si="4"/>
        <v>0</v>
      </c>
      <c r="V31" s="28"/>
      <c r="W31" s="28"/>
      <c r="X31" s="28"/>
      <c r="Y31" s="29"/>
      <c r="Z31" s="28"/>
    </row>
    <row r="32" ht="18.75" customHeight="1">
      <c r="A32" s="13">
        <v>46300.0</v>
      </c>
      <c r="B32" s="16" t="s">
        <v>175</v>
      </c>
      <c r="C32" s="16" t="s">
        <v>66</v>
      </c>
      <c r="D32" s="12">
        <v>5.0</v>
      </c>
      <c r="E32" s="16" t="s">
        <v>91</v>
      </c>
      <c r="F32" s="12">
        <v>1.0</v>
      </c>
      <c r="G32" s="18"/>
      <c r="H32" s="18"/>
      <c r="I32" s="18"/>
      <c r="J32" s="18"/>
      <c r="K32" s="18"/>
      <c r="L32" s="22">
        <f t="shared" si="1"/>
        <v>0</v>
      </c>
      <c r="M32" s="23"/>
      <c r="N32" s="23"/>
      <c r="O32" s="23"/>
      <c r="P32" s="23"/>
      <c r="Q32" s="23"/>
      <c r="R32" s="23"/>
      <c r="S32" s="22">
        <f t="shared" si="2"/>
        <v>0</v>
      </c>
      <c r="T32" s="22">
        <f t="shared" si="3"/>
        <v>0</v>
      </c>
      <c r="U32" s="22">
        <f t="shared" si="4"/>
        <v>0</v>
      </c>
      <c r="V32" s="28"/>
      <c r="W32" s="28"/>
      <c r="X32" s="28"/>
      <c r="Y32" s="29"/>
      <c r="Z32" s="28"/>
    </row>
    <row r="33" ht="18.75" customHeight="1">
      <c r="A33" s="13">
        <v>46301.0</v>
      </c>
      <c r="B33" s="16" t="s">
        <v>177</v>
      </c>
      <c r="C33" s="16" t="s">
        <v>72</v>
      </c>
      <c r="D33" s="12">
        <v>5.0</v>
      </c>
      <c r="E33" s="16" t="s">
        <v>91</v>
      </c>
      <c r="F33" s="12">
        <v>1.0</v>
      </c>
      <c r="G33" s="18"/>
      <c r="H33" s="18"/>
      <c r="I33" s="18"/>
      <c r="J33" s="18"/>
      <c r="K33" s="18"/>
      <c r="L33" s="22">
        <f t="shared" si="1"/>
        <v>0</v>
      </c>
      <c r="M33" s="23"/>
      <c r="N33" s="23"/>
      <c r="O33" s="23"/>
      <c r="P33" s="23"/>
      <c r="Q33" s="23"/>
      <c r="R33" s="23"/>
      <c r="S33" s="22">
        <f t="shared" si="2"/>
        <v>0</v>
      </c>
      <c r="T33" s="22">
        <f t="shared" si="3"/>
        <v>0</v>
      </c>
      <c r="U33" s="22">
        <f t="shared" si="4"/>
        <v>0</v>
      </c>
      <c r="V33" s="28"/>
      <c r="W33" s="28"/>
      <c r="X33" s="28"/>
      <c r="Y33" s="29"/>
      <c r="Z33" s="28"/>
    </row>
    <row r="34" ht="18.75" customHeight="1">
      <c r="A34" s="13">
        <v>46302.0</v>
      </c>
      <c r="B34" s="16" t="s">
        <v>178</v>
      </c>
      <c r="C34" s="16" t="s">
        <v>78</v>
      </c>
      <c r="D34" s="12">
        <v>5.0</v>
      </c>
      <c r="E34" s="16" t="s">
        <v>91</v>
      </c>
      <c r="F34" s="12">
        <v>1.0</v>
      </c>
      <c r="G34" s="18"/>
      <c r="H34" s="18"/>
      <c r="I34" s="18"/>
      <c r="J34" s="18"/>
      <c r="K34" s="18"/>
      <c r="L34" s="22">
        <f t="shared" si="1"/>
        <v>0</v>
      </c>
      <c r="M34" s="23"/>
      <c r="N34" s="23"/>
      <c r="O34" s="23"/>
      <c r="P34" s="23"/>
      <c r="Q34" s="23"/>
      <c r="R34" s="23"/>
      <c r="S34" s="22">
        <f t="shared" si="2"/>
        <v>0</v>
      </c>
      <c r="T34" s="22">
        <f t="shared" si="3"/>
        <v>0</v>
      </c>
      <c r="U34" s="22">
        <f t="shared" si="4"/>
        <v>0</v>
      </c>
      <c r="V34" s="28"/>
      <c r="W34" s="28"/>
      <c r="X34" s="28"/>
      <c r="Y34" s="29"/>
      <c r="Z34" s="28"/>
    </row>
    <row r="35" ht="18.75" customHeight="1">
      <c r="A35" s="13">
        <v>46303.0</v>
      </c>
      <c r="B35" s="16" t="s">
        <v>179</v>
      </c>
      <c r="C35" s="16" t="s">
        <v>86</v>
      </c>
      <c r="D35" s="12">
        <v>5.0</v>
      </c>
      <c r="E35" s="16" t="s">
        <v>91</v>
      </c>
      <c r="F35" s="12">
        <v>1.0</v>
      </c>
      <c r="G35" s="18"/>
      <c r="H35" s="18"/>
      <c r="I35" s="18"/>
      <c r="J35" s="18"/>
      <c r="K35" s="18"/>
      <c r="L35" s="22">
        <f t="shared" si="1"/>
        <v>0</v>
      </c>
      <c r="M35" s="23"/>
      <c r="N35" s="23"/>
      <c r="O35" s="23"/>
      <c r="P35" s="23"/>
      <c r="Q35" s="23"/>
      <c r="R35" s="23"/>
      <c r="S35" s="22">
        <f t="shared" si="2"/>
        <v>0</v>
      </c>
      <c r="T35" s="22">
        <f t="shared" si="3"/>
        <v>0</v>
      </c>
      <c r="U35" s="22">
        <f t="shared" si="4"/>
        <v>0</v>
      </c>
      <c r="V35" s="28"/>
      <c r="W35" s="28"/>
      <c r="X35" s="28"/>
      <c r="Y35" s="29"/>
      <c r="Z35" s="28"/>
    </row>
    <row r="36" ht="18.75" customHeight="1">
      <c r="A36" s="32">
        <v>46304.0</v>
      </c>
      <c r="B36" s="33" t="s">
        <v>180</v>
      </c>
      <c r="C36" s="33" t="s">
        <v>93</v>
      </c>
      <c r="D36" s="34">
        <v>5.0</v>
      </c>
      <c r="E36" s="33" t="s">
        <v>91</v>
      </c>
      <c r="F36" s="34">
        <v>1.0</v>
      </c>
      <c r="G36" s="18"/>
      <c r="H36" s="18"/>
      <c r="I36" s="18"/>
      <c r="J36" s="18"/>
      <c r="K36" s="18"/>
      <c r="L36" s="22">
        <f t="shared" si="1"/>
        <v>0</v>
      </c>
      <c r="M36" s="23"/>
      <c r="N36" s="23"/>
      <c r="O36" s="23"/>
      <c r="P36" s="23"/>
      <c r="Q36" s="23"/>
      <c r="R36" s="23"/>
      <c r="S36" s="22">
        <f t="shared" si="2"/>
        <v>0</v>
      </c>
      <c r="T36" s="22">
        <f t="shared" si="3"/>
        <v>0</v>
      </c>
      <c r="U36" s="22">
        <f t="shared" si="4"/>
        <v>0</v>
      </c>
      <c r="V36" s="28"/>
      <c r="W36" s="28"/>
      <c r="X36" s="28"/>
      <c r="Y36" s="29"/>
      <c r="Z36" s="28"/>
    </row>
    <row r="37" ht="18.75" customHeight="1">
      <c r="A37" s="13">
        <v>46305.0</v>
      </c>
      <c r="B37" s="16" t="s">
        <v>181</v>
      </c>
      <c r="C37" s="16" t="s">
        <v>98</v>
      </c>
      <c r="D37" s="12">
        <v>5.0</v>
      </c>
      <c r="E37" s="16" t="s">
        <v>91</v>
      </c>
      <c r="F37" s="12">
        <v>1.0</v>
      </c>
      <c r="G37" s="18"/>
      <c r="H37" s="18"/>
      <c r="I37" s="18"/>
      <c r="J37" s="18"/>
      <c r="K37" s="18"/>
      <c r="L37" s="22">
        <f t="shared" si="1"/>
        <v>0</v>
      </c>
      <c r="M37" s="23"/>
      <c r="N37" s="23"/>
      <c r="O37" s="23"/>
      <c r="P37" s="23"/>
      <c r="Q37" s="23"/>
      <c r="R37" s="23"/>
      <c r="S37" s="22">
        <f t="shared" si="2"/>
        <v>0</v>
      </c>
      <c r="T37" s="22">
        <f t="shared" si="3"/>
        <v>0</v>
      </c>
      <c r="U37" s="22">
        <f t="shared" si="4"/>
        <v>0</v>
      </c>
      <c r="V37" s="28"/>
      <c r="W37" s="28"/>
      <c r="X37" s="28"/>
      <c r="Y37" s="29"/>
      <c r="Z37" s="28"/>
    </row>
    <row r="38" ht="18.75" customHeight="1">
      <c r="A38" s="13">
        <v>46306.0</v>
      </c>
      <c r="B38" s="16" t="s">
        <v>182</v>
      </c>
      <c r="C38" s="16" t="s">
        <v>58</v>
      </c>
      <c r="D38" s="12">
        <v>6.0</v>
      </c>
      <c r="E38" s="16" t="s">
        <v>91</v>
      </c>
      <c r="F38" s="12">
        <v>1.0</v>
      </c>
      <c r="G38" s="18"/>
      <c r="H38" s="18"/>
      <c r="I38" s="18"/>
      <c r="J38" s="18"/>
      <c r="K38" s="18"/>
      <c r="L38" s="22">
        <f t="shared" si="1"/>
        <v>0</v>
      </c>
      <c r="M38" s="23"/>
      <c r="N38" s="23"/>
      <c r="O38" s="23"/>
      <c r="P38" s="23"/>
      <c r="Q38" s="23"/>
      <c r="R38" s="23"/>
      <c r="S38" s="22">
        <f t="shared" si="2"/>
        <v>0</v>
      </c>
      <c r="T38" s="22">
        <f t="shared" si="3"/>
        <v>0</v>
      </c>
      <c r="U38" s="22">
        <f t="shared" si="4"/>
        <v>0</v>
      </c>
      <c r="V38" s="28"/>
      <c r="W38" s="28"/>
      <c r="X38" s="28"/>
      <c r="Y38" s="29"/>
      <c r="Z38" s="28"/>
    </row>
    <row r="39" ht="18.75" customHeight="1">
      <c r="A39" s="13">
        <v>46307.0</v>
      </c>
      <c r="B39" s="16" t="s">
        <v>184</v>
      </c>
      <c r="C39" s="16" t="s">
        <v>66</v>
      </c>
      <c r="D39" s="12">
        <v>6.0</v>
      </c>
      <c r="E39" s="16" t="s">
        <v>91</v>
      </c>
      <c r="F39" s="12">
        <v>1.0</v>
      </c>
      <c r="G39" s="18"/>
      <c r="H39" s="18"/>
      <c r="I39" s="18"/>
      <c r="J39" s="18"/>
      <c r="K39" s="18"/>
      <c r="L39" s="22">
        <f t="shared" si="1"/>
        <v>0</v>
      </c>
      <c r="M39" s="23"/>
      <c r="N39" s="23"/>
      <c r="O39" s="23"/>
      <c r="P39" s="23"/>
      <c r="Q39" s="23"/>
      <c r="R39" s="23"/>
      <c r="S39" s="22">
        <f t="shared" si="2"/>
        <v>0</v>
      </c>
      <c r="T39" s="22">
        <f t="shared" si="3"/>
        <v>0</v>
      </c>
      <c r="U39" s="22">
        <f t="shared" si="4"/>
        <v>0</v>
      </c>
      <c r="V39" s="28"/>
      <c r="W39" s="28"/>
      <c r="X39" s="28"/>
      <c r="Y39" s="29"/>
      <c r="Z39" s="28"/>
    </row>
    <row r="40" ht="18.75" customHeight="1">
      <c r="A40" s="13">
        <v>46308.0</v>
      </c>
      <c r="B40" s="16" t="s">
        <v>185</v>
      </c>
      <c r="C40" s="16" t="s">
        <v>72</v>
      </c>
      <c r="D40" s="12">
        <v>6.0</v>
      </c>
      <c r="E40" s="16" t="s">
        <v>91</v>
      </c>
      <c r="F40" s="12">
        <v>1.0</v>
      </c>
      <c r="G40" s="18"/>
      <c r="H40" s="18"/>
      <c r="I40" s="18"/>
      <c r="J40" s="18"/>
      <c r="K40" s="18"/>
      <c r="L40" s="22">
        <f t="shared" si="1"/>
        <v>0</v>
      </c>
      <c r="M40" s="23"/>
      <c r="N40" s="23"/>
      <c r="O40" s="23"/>
      <c r="P40" s="23"/>
      <c r="Q40" s="23"/>
      <c r="R40" s="23"/>
      <c r="S40" s="22">
        <f t="shared" si="2"/>
        <v>0</v>
      </c>
      <c r="T40" s="22">
        <f t="shared" si="3"/>
        <v>0</v>
      </c>
      <c r="U40" s="22">
        <f t="shared" si="4"/>
        <v>0</v>
      </c>
      <c r="V40" s="28"/>
      <c r="W40" s="28"/>
      <c r="X40" s="28"/>
      <c r="Y40" s="29"/>
      <c r="Z40" s="28"/>
    </row>
    <row r="41" ht="18.75" customHeight="1">
      <c r="A41" s="13">
        <v>46309.0</v>
      </c>
      <c r="B41" s="16" t="s">
        <v>186</v>
      </c>
      <c r="C41" s="16" t="s">
        <v>78</v>
      </c>
      <c r="D41" s="12">
        <v>6.0</v>
      </c>
      <c r="E41" s="16" t="s">
        <v>91</v>
      </c>
      <c r="F41" s="12">
        <v>1.0</v>
      </c>
      <c r="G41" s="18"/>
      <c r="H41" s="18"/>
      <c r="I41" s="18"/>
      <c r="J41" s="18"/>
      <c r="K41" s="18"/>
      <c r="L41" s="22">
        <f t="shared" si="1"/>
        <v>0</v>
      </c>
      <c r="M41" s="23"/>
      <c r="N41" s="23"/>
      <c r="O41" s="23"/>
      <c r="P41" s="23"/>
      <c r="Q41" s="23"/>
      <c r="R41" s="23"/>
      <c r="S41" s="22">
        <f t="shared" si="2"/>
        <v>0</v>
      </c>
      <c r="T41" s="22">
        <f t="shared" si="3"/>
        <v>0</v>
      </c>
      <c r="U41" s="22">
        <f t="shared" si="4"/>
        <v>0</v>
      </c>
      <c r="V41" s="28"/>
      <c r="W41" s="28"/>
      <c r="X41" s="28"/>
      <c r="Y41" s="29"/>
      <c r="Z41" s="28"/>
    </row>
    <row r="42" ht="18.75" customHeight="1">
      <c r="A42" s="13">
        <v>46310.0</v>
      </c>
      <c r="B42" s="16" t="s">
        <v>188</v>
      </c>
      <c r="C42" s="16" t="s">
        <v>86</v>
      </c>
      <c r="D42" s="12">
        <v>6.0</v>
      </c>
      <c r="E42" s="16" t="s">
        <v>91</v>
      </c>
      <c r="F42" s="12">
        <v>1.0</v>
      </c>
      <c r="G42" s="18"/>
      <c r="H42" s="18"/>
      <c r="I42" s="18"/>
      <c r="J42" s="18"/>
      <c r="K42" s="18"/>
      <c r="L42" s="22">
        <f t="shared" si="1"/>
        <v>0</v>
      </c>
      <c r="M42" s="23"/>
      <c r="N42" s="23"/>
      <c r="O42" s="23"/>
      <c r="P42" s="23"/>
      <c r="Q42" s="23"/>
      <c r="R42" s="23"/>
      <c r="S42" s="22">
        <f t="shared" si="2"/>
        <v>0</v>
      </c>
      <c r="T42" s="22">
        <f t="shared" si="3"/>
        <v>0</v>
      </c>
      <c r="U42" s="22">
        <f t="shared" si="4"/>
        <v>0</v>
      </c>
      <c r="V42" s="28"/>
      <c r="W42" s="28"/>
      <c r="X42" s="28"/>
      <c r="Y42" s="29"/>
      <c r="Z42" s="28"/>
    </row>
    <row r="43" ht="18.75" customHeight="1">
      <c r="A43" s="32">
        <v>46311.0</v>
      </c>
      <c r="B43" s="33" t="s">
        <v>189</v>
      </c>
      <c r="C43" s="33" t="s">
        <v>93</v>
      </c>
      <c r="D43" s="34">
        <v>6.0</v>
      </c>
      <c r="E43" s="33" t="s">
        <v>91</v>
      </c>
      <c r="F43" s="34">
        <v>1.0</v>
      </c>
      <c r="G43" s="18"/>
      <c r="H43" s="18"/>
      <c r="I43" s="18"/>
      <c r="J43" s="18"/>
      <c r="K43" s="18"/>
      <c r="L43" s="22">
        <f t="shared" si="1"/>
        <v>0</v>
      </c>
      <c r="M43" s="23"/>
      <c r="N43" s="23"/>
      <c r="O43" s="23"/>
      <c r="P43" s="23"/>
      <c r="Q43" s="23"/>
      <c r="R43" s="23"/>
      <c r="S43" s="22">
        <f t="shared" si="2"/>
        <v>0</v>
      </c>
      <c r="T43" s="22">
        <f t="shared" si="3"/>
        <v>0</v>
      </c>
      <c r="U43" s="22">
        <f t="shared" si="4"/>
        <v>0</v>
      </c>
      <c r="V43" s="28"/>
      <c r="W43" s="28"/>
      <c r="X43" s="28"/>
      <c r="Y43" s="29"/>
      <c r="Z43" s="28"/>
    </row>
    <row r="44" ht="18.75" customHeight="1">
      <c r="A44" s="13">
        <v>46312.0</v>
      </c>
      <c r="B44" s="16" t="s">
        <v>190</v>
      </c>
      <c r="C44" s="16" t="s">
        <v>98</v>
      </c>
      <c r="D44" s="12">
        <v>6.0</v>
      </c>
      <c r="E44" s="16" t="s">
        <v>91</v>
      </c>
      <c r="F44" s="12">
        <v>1.0</v>
      </c>
      <c r="G44" s="18"/>
      <c r="H44" s="18"/>
      <c r="I44" s="18"/>
      <c r="J44" s="18"/>
      <c r="K44" s="18"/>
      <c r="L44" s="22">
        <f t="shared" si="1"/>
        <v>0</v>
      </c>
      <c r="M44" s="23"/>
      <c r="N44" s="23"/>
      <c r="O44" s="23"/>
      <c r="P44" s="23"/>
      <c r="Q44" s="23"/>
      <c r="R44" s="23"/>
      <c r="S44" s="22">
        <f t="shared" si="2"/>
        <v>0</v>
      </c>
      <c r="T44" s="22">
        <f t="shared" si="3"/>
        <v>0</v>
      </c>
      <c r="U44" s="22">
        <f t="shared" si="4"/>
        <v>0</v>
      </c>
      <c r="V44" s="28"/>
      <c r="W44" s="28"/>
      <c r="X44" s="28"/>
      <c r="Y44" s="29"/>
      <c r="Z44" s="28"/>
    </row>
    <row r="45" ht="18.75" customHeight="1">
      <c r="A45" s="13">
        <v>46313.0</v>
      </c>
      <c r="B45" s="16" t="s">
        <v>192</v>
      </c>
      <c r="C45" s="16" t="s">
        <v>58</v>
      </c>
      <c r="D45" s="12">
        <v>7.0</v>
      </c>
      <c r="E45" s="16" t="s">
        <v>91</v>
      </c>
      <c r="F45" s="12">
        <v>2.0</v>
      </c>
      <c r="G45" s="18"/>
      <c r="H45" s="18"/>
      <c r="I45" s="18"/>
      <c r="J45" s="18"/>
      <c r="K45" s="18"/>
      <c r="L45" s="22">
        <f t="shared" si="1"/>
        <v>0</v>
      </c>
      <c r="M45" s="23"/>
      <c r="N45" s="23"/>
      <c r="O45" s="23"/>
      <c r="P45" s="23"/>
      <c r="Q45" s="23"/>
      <c r="R45" s="23"/>
      <c r="S45" s="22">
        <f t="shared" si="2"/>
        <v>0</v>
      </c>
      <c r="T45" s="22">
        <f t="shared" si="3"/>
        <v>0</v>
      </c>
      <c r="U45" s="22">
        <f t="shared" si="4"/>
        <v>0</v>
      </c>
      <c r="V45" s="28"/>
      <c r="W45" s="28"/>
      <c r="X45" s="28"/>
      <c r="Y45" s="29"/>
      <c r="Z45" s="28"/>
    </row>
    <row r="46" ht="18.75" customHeight="1">
      <c r="A46" s="13">
        <v>46314.0</v>
      </c>
      <c r="B46" s="16" t="s">
        <v>193</v>
      </c>
      <c r="C46" s="16" t="s">
        <v>66</v>
      </c>
      <c r="D46" s="12">
        <v>7.0</v>
      </c>
      <c r="E46" s="16" t="s">
        <v>91</v>
      </c>
      <c r="F46" s="12">
        <v>2.0</v>
      </c>
      <c r="G46" s="18"/>
      <c r="H46" s="18"/>
      <c r="I46" s="18"/>
      <c r="J46" s="18"/>
      <c r="K46" s="18"/>
      <c r="L46" s="22">
        <f t="shared" si="1"/>
        <v>0</v>
      </c>
      <c r="M46" s="23"/>
      <c r="N46" s="23"/>
      <c r="O46" s="23"/>
      <c r="P46" s="23"/>
      <c r="Q46" s="23"/>
      <c r="R46" s="23"/>
      <c r="S46" s="22">
        <f t="shared" si="2"/>
        <v>0</v>
      </c>
      <c r="T46" s="22">
        <f t="shared" si="3"/>
        <v>0</v>
      </c>
      <c r="U46" s="22">
        <f t="shared" si="4"/>
        <v>0</v>
      </c>
      <c r="V46" s="28"/>
      <c r="W46" s="28"/>
      <c r="X46" s="28"/>
      <c r="Y46" s="29"/>
      <c r="Z46" s="28"/>
    </row>
    <row r="47" ht="18.75" customHeight="1">
      <c r="A47" s="13">
        <v>46315.0</v>
      </c>
      <c r="B47" s="16" t="s">
        <v>194</v>
      </c>
      <c r="C47" s="16" t="s">
        <v>72</v>
      </c>
      <c r="D47" s="12">
        <v>7.0</v>
      </c>
      <c r="E47" s="16" t="s">
        <v>91</v>
      </c>
      <c r="F47" s="12">
        <v>2.0</v>
      </c>
      <c r="G47" s="18"/>
      <c r="H47" s="18"/>
      <c r="I47" s="18"/>
      <c r="J47" s="18"/>
      <c r="K47" s="18"/>
      <c r="L47" s="22">
        <f t="shared" si="1"/>
        <v>0</v>
      </c>
      <c r="M47" s="23"/>
      <c r="N47" s="23"/>
      <c r="O47" s="23"/>
      <c r="P47" s="23"/>
      <c r="Q47" s="23"/>
      <c r="R47" s="23"/>
      <c r="S47" s="22">
        <f t="shared" si="2"/>
        <v>0</v>
      </c>
      <c r="T47" s="22">
        <f t="shared" si="3"/>
        <v>0</v>
      </c>
      <c r="U47" s="22">
        <f t="shared" si="4"/>
        <v>0</v>
      </c>
      <c r="V47" s="28"/>
      <c r="W47" s="28"/>
      <c r="X47" s="28"/>
      <c r="Y47" s="29"/>
      <c r="Z47" s="28"/>
    </row>
    <row r="48" ht="18.75" customHeight="1">
      <c r="A48" s="13">
        <v>46316.0</v>
      </c>
      <c r="B48" s="16" t="s">
        <v>195</v>
      </c>
      <c r="C48" s="16" t="s">
        <v>78</v>
      </c>
      <c r="D48" s="12">
        <v>7.0</v>
      </c>
      <c r="E48" s="16" t="s">
        <v>91</v>
      </c>
      <c r="F48" s="12">
        <v>2.0</v>
      </c>
      <c r="G48" s="18"/>
      <c r="H48" s="18"/>
      <c r="I48" s="18"/>
      <c r="J48" s="18"/>
      <c r="K48" s="18"/>
      <c r="L48" s="22">
        <f t="shared" si="1"/>
        <v>0</v>
      </c>
      <c r="M48" s="23"/>
      <c r="N48" s="23"/>
      <c r="O48" s="23"/>
      <c r="P48" s="23"/>
      <c r="Q48" s="23"/>
      <c r="R48" s="23"/>
      <c r="S48" s="22">
        <f t="shared" si="2"/>
        <v>0</v>
      </c>
      <c r="T48" s="22">
        <f t="shared" si="3"/>
        <v>0</v>
      </c>
      <c r="U48" s="22">
        <f t="shared" si="4"/>
        <v>0</v>
      </c>
      <c r="V48" s="28"/>
      <c r="W48" s="28"/>
      <c r="X48" s="28"/>
      <c r="Y48" s="29"/>
      <c r="Z48" s="28"/>
    </row>
    <row r="49" ht="18.75" customHeight="1">
      <c r="A49" s="13">
        <v>46317.0</v>
      </c>
      <c r="B49" s="16" t="s">
        <v>196</v>
      </c>
      <c r="C49" s="16" t="s">
        <v>86</v>
      </c>
      <c r="D49" s="12">
        <v>7.0</v>
      </c>
      <c r="E49" s="16" t="s">
        <v>91</v>
      </c>
      <c r="F49" s="12">
        <v>2.0</v>
      </c>
      <c r="G49" s="18"/>
      <c r="H49" s="18"/>
      <c r="I49" s="18"/>
      <c r="J49" s="18"/>
      <c r="K49" s="18"/>
      <c r="L49" s="22">
        <f t="shared" si="1"/>
        <v>0</v>
      </c>
      <c r="M49" s="23"/>
      <c r="N49" s="23"/>
      <c r="O49" s="23"/>
      <c r="P49" s="23"/>
      <c r="Q49" s="23"/>
      <c r="R49" s="23"/>
      <c r="S49" s="22">
        <f t="shared" si="2"/>
        <v>0</v>
      </c>
      <c r="T49" s="22">
        <f t="shared" si="3"/>
        <v>0</v>
      </c>
      <c r="U49" s="22">
        <f t="shared" si="4"/>
        <v>0</v>
      </c>
      <c r="V49" s="28"/>
      <c r="W49" s="28"/>
      <c r="X49" s="28"/>
      <c r="Y49" s="29"/>
      <c r="Z49" s="28"/>
    </row>
    <row r="50" ht="18.75" customHeight="1">
      <c r="A50" s="32">
        <v>46318.0</v>
      </c>
      <c r="B50" s="33" t="s">
        <v>198</v>
      </c>
      <c r="C50" s="33" t="s">
        <v>93</v>
      </c>
      <c r="D50" s="34">
        <v>7.0</v>
      </c>
      <c r="E50" s="33" t="s">
        <v>115</v>
      </c>
      <c r="F50" s="34">
        <v>2.0</v>
      </c>
      <c r="G50" s="18"/>
      <c r="H50" s="18"/>
      <c r="I50" s="18"/>
      <c r="J50" s="18"/>
      <c r="K50" s="18"/>
      <c r="L50" s="22">
        <f t="shared" si="1"/>
        <v>0</v>
      </c>
      <c r="M50" s="23"/>
      <c r="N50" s="23"/>
      <c r="O50" s="23"/>
      <c r="P50" s="23"/>
      <c r="Q50" s="23"/>
      <c r="R50" s="23"/>
      <c r="S50" s="22">
        <f t="shared" si="2"/>
        <v>0</v>
      </c>
      <c r="T50" s="22">
        <f t="shared" si="3"/>
        <v>0</v>
      </c>
      <c r="U50" s="22">
        <f t="shared" si="4"/>
        <v>0</v>
      </c>
      <c r="V50" s="28"/>
      <c r="W50" s="28"/>
      <c r="X50" s="28"/>
      <c r="Y50" s="29"/>
      <c r="Z50" s="28"/>
    </row>
    <row r="51" ht="18.75" customHeight="1">
      <c r="A51" s="13">
        <v>46319.0</v>
      </c>
      <c r="B51" s="16" t="s">
        <v>199</v>
      </c>
      <c r="C51" s="16" t="s">
        <v>98</v>
      </c>
      <c r="D51" s="12">
        <v>7.0</v>
      </c>
      <c r="E51" s="16" t="s">
        <v>115</v>
      </c>
      <c r="F51" s="12">
        <v>2.0</v>
      </c>
      <c r="G51" s="18"/>
      <c r="H51" s="18"/>
      <c r="I51" s="18"/>
      <c r="J51" s="18"/>
      <c r="K51" s="18"/>
      <c r="L51" s="22">
        <f t="shared" si="1"/>
        <v>0</v>
      </c>
      <c r="M51" s="23"/>
      <c r="N51" s="23"/>
      <c r="O51" s="23"/>
      <c r="P51" s="23"/>
      <c r="Q51" s="23"/>
      <c r="R51" s="23"/>
      <c r="S51" s="22">
        <f t="shared" si="2"/>
        <v>0</v>
      </c>
      <c r="T51" s="22">
        <f t="shared" si="3"/>
        <v>0</v>
      </c>
      <c r="U51" s="22">
        <f t="shared" si="4"/>
        <v>0</v>
      </c>
      <c r="V51" s="28"/>
      <c r="W51" s="28"/>
      <c r="X51" s="28"/>
      <c r="Y51" s="29"/>
      <c r="Z51" s="28"/>
    </row>
    <row r="52" ht="18.75" customHeight="1">
      <c r="A52" s="13">
        <v>46320.0</v>
      </c>
      <c r="B52" s="16" t="s">
        <v>200</v>
      </c>
      <c r="C52" s="16" t="s">
        <v>58</v>
      </c>
      <c r="D52" s="12">
        <v>8.0</v>
      </c>
      <c r="E52" s="16" t="s">
        <v>115</v>
      </c>
      <c r="F52" s="12">
        <v>2.0</v>
      </c>
      <c r="G52" s="18"/>
      <c r="H52" s="18"/>
      <c r="I52" s="18"/>
      <c r="J52" s="18"/>
      <c r="K52" s="18"/>
      <c r="L52" s="22">
        <f t="shared" si="1"/>
        <v>0</v>
      </c>
      <c r="M52" s="23"/>
      <c r="N52" s="23"/>
      <c r="O52" s="23"/>
      <c r="P52" s="23"/>
      <c r="Q52" s="23"/>
      <c r="R52" s="23"/>
      <c r="S52" s="22">
        <f t="shared" si="2"/>
        <v>0</v>
      </c>
      <c r="T52" s="22">
        <f t="shared" si="3"/>
        <v>0</v>
      </c>
      <c r="U52" s="22">
        <f t="shared" si="4"/>
        <v>0</v>
      </c>
      <c r="V52" s="28"/>
      <c r="W52" s="28"/>
      <c r="X52" s="28"/>
      <c r="Y52" s="29"/>
      <c r="Z52" s="28"/>
    </row>
    <row r="53" ht="18.75" customHeight="1">
      <c r="A53" s="13">
        <v>46321.0</v>
      </c>
      <c r="B53" s="16" t="s">
        <v>201</v>
      </c>
      <c r="C53" s="16" t="s">
        <v>66</v>
      </c>
      <c r="D53" s="12">
        <v>8.0</v>
      </c>
      <c r="E53" s="16" t="s">
        <v>115</v>
      </c>
      <c r="F53" s="12">
        <v>2.0</v>
      </c>
      <c r="G53" s="18"/>
      <c r="H53" s="18"/>
      <c r="I53" s="18"/>
      <c r="J53" s="18"/>
      <c r="K53" s="18"/>
      <c r="L53" s="22">
        <f t="shared" si="1"/>
        <v>0</v>
      </c>
      <c r="M53" s="23"/>
      <c r="N53" s="23"/>
      <c r="O53" s="23"/>
      <c r="P53" s="23"/>
      <c r="Q53" s="23"/>
      <c r="R53" s="23"/>
      <c r="S53" s="22">
        <f t="shared" si="2"/>
        <v>0</v>
      </c>
      <c r="T53" s="22">
        <f t="shared" si="3"/>
        <v>0</v>
      </c>
      <c r="U53" s="22">
        <f t="shared" si="4"/>
        <v>0</v>
      </c>
      <c r="V53" s="28"/>
      <c r="W53" s="28"/>
      <c r="X53" s="28"/>
      <c r="Y53" s="29"/>
      <c r="Z53" s="28"/>
    </row>
    <row r="54" ht="18.75" customHeight="1">
      <c r="A54" s="13">
        <v>46322.0</v>
      </c>
      <c r="B54" s="16" t="s">
        <v>203</v>
      </c>
      <c r="C54" s="16" t="s">
        <v>72</v>
      </c>
      <c r="D54" s="12">
        <v>8.0</v>
      </c>
      <c r="E54" s="16" t="s">
        <v>115</v>
      </c>
      <c r="F54" s="12">
        <v>2.0</v>
      </c>
      <c r="G54" s="18"/>
      <c r="H54" s="18"/>
      <c r="I54" s="18"/>
      <c r="J54" s="18"/>
      <c r="K54" s="18"/>
      <c r="L54" s="22">
        <f t="shared" si="1"/>
        <v>0</v>
      </c>
      <c r="M54" s="23"/>
      <c r="N54" s="23"/>
      <c r="O54" s="23"/>
      <c r="P54" s="23"/>
      <c r="Q54" s="23"/>
      <c r="R54" s="23"/>
      <c r="S54" s="22">
        <f t="shared" si="2"/>
        <v>0</v>
      </c>
      <c r="T54" s="22">
        <f t="shared" si="3"/>
        <v>0</v>
      </c>
      <c r="U54" s="22">
        <f t="shared" si="4"/>
        <v>0</v>
      </c>
      <c r="V54" s="28"/>
      <c r="W54" s="28"/>
      <c r="X54" s="28"/>
      <c r="Y54" s="29"/>
      <c r="Z54" s="28"/>
    </row>
    <row r="55" ht="18.75" customHeight="1">
      <c r="A55" s="13">
        <v>46323.0</v>
      </c>
      <c r="B55" s="16" t="s">
        <v>204</v>
      </c>
      <c r="C55" s="16" t="s">
        <v>78</v>
      </c>
      <c r="D55" s="12">
        <v>8.0</v>
      </c>
      <c r="E55" s="16" t="s">
        <v>115</v>
      </c>
      <c r="F55" s="12">
        <v>2.0</v>
      </c>
      <c r="G55" s="18"/>
      <c r="H55" s="18"/>
      <c r="I55" s="18"/>
      <c r="J55" s="18"/>
      <c r="K55" s="18"/>
      <c r="L55" s="22">
        <f t="shared" si="1"/>
        <v>0</v>
      </c>
      <c r="M55" s="23"/>
      <c r="N55" s="23"/>
      <c r="O55" s="23"/>
      <c r="P55" s="23"/>
      <c r="Q55" s="23"/>
      <c r="R55" s="23"/>
      <c r="S55" s="22">
        <f t="shared" si="2"/>
        <v>0</v>
      </c>
      <c r="T55" s="22">
        <f t="shared" si="3"/>
        <v>0</v>
      </c>
      <c r="U55" s="22">
        <f t="shared" si="4"/>
        <v>0</v>
      </c>
      <c r="V55" s="28"/>
      <c r="W55" s="28"/>
      <c r="X55" s="28"/>
      <c r="Y55" s="29"/>
      <c r="Z55" s="28"/>
    </row>
    <row r="56" ht="18.75" customHeight="1">
      <c r="A56" s="13">
        <v>46324.0</v>
      </c>
      <c r="B56" s="16" t="s">
        <v>205</v>
      </c>
      <c r="C56" s="16" t="s">
        <v>86</v>
      </c>
      <c r="D56" s="12">
        <v>8.0</v>
      </c>
      <c r="E56" s="16" t="s">
        <v>115</v>
      </c>
      <c r="F56" s="12">
        <v>2.0</v>
      </c>
      <c r="G56" s="18"/>
      <c r="H56" s="18"/>
      <c r="I56" s="18"/>
      <c r="J56" s="18"/>
      <c r="K56" s="18"/>
      <c r="L56" s="22">
        <f t="shared" si="1"/>
        <v>0</v>
      </c>
      <c r="M56" s="23"/>
      <c r="N56" s="23"/>
      <c r="O56" s="23"/>
      <c r="P56" s="23"/>
      <c r="Q56" s="23"/>
      <c r="R56" s="23"/>
      <c r="S56" s="22">
        <f t="shared" si="2"/>
        <v>0</v>
      </c>
      <c r="T56" s="22">
        <f t="shared" si="3"/>
        <v>0</v>
      </c>
      <c r="U56" s="22">
        <f t="shared" si="4"/>
        <v>0</v>
      </c>
      <c r="V56" s="28"/>
      <c r="W56" s="28"/>
      <c r="X56" s="28"/>
      <c r="Y56" s="29"/>
      <c r="Z56" s="28"/>
    </row>
    <row r="57" ht="18.75" customHeight="1">
      <c r="A57" s="32">
        <v>46325.0</v>
      </c>
      <c r="B57" s="33" t="s">
        <v>206</v>
      </c>
      <c r="C57" s="33" t="s">
        <v>93</v>
      </c>
      <c r="D57" s="34">
        <v>8.0</v>
      </c>
      <c r="E57" s="33" t="s">
        <v>115</v>
      </c>
      <c r="F57" s="34">
        <v>2.0</v>
      </c>
      <c r="G57" s="18"/>
      <c r="H57" s="18"/>
      <c r="I57" s="18"/>
      <c r="J57" s="18"/>
      <c r="K57" s="18"/>
      <c r="L57" s="22">
        <f t="shared" si="1"/>
        <v>0</v>
      </c>
      <c r="M57" s="23"/>
      <c r="N57" s="23"/>
      <c r="O57" s="23"/>
      <c r="P57" s="23"/>
      <c r="Q57" s="23"/>
      <c r="R57" s="23"/>
      <c r="S57" s="22">
        <f t="shared" si="2"/>
        <v>0</v>
      </c>
      <c r="T57" s="22">
        <f t="shared" si="3"/>
        <v>0</v>
      </c>
      <c r="U57" s="22">
        <f t="shared" si="4"/>
        <v>0</v>
      </c>
      <c r="V57" s="28"/>
      <c r="W57" s="28"/>
      <c r="X57" s="28"/>
      <c r="Y57" s="29"/>
      <c r="Z57" s="28"/>
    </row>
    <row r="58" ht="18.75" customHeight="1">
      <c r="A58" s="13">
        <v>46326.0</v>
      </c>
      <c r="B58" s="16" t="s">
        <v>207</v>
      </c>
      <c r="C58" s="16" t="s">
        <v>98</v>
      </c>
      <c r="D58" s="12">
        <v>8.0</v>
      </c>
      <c r="E58" s="16" t="s">
        <v>115</v>
      </c>
      <c r="F58" s="12">
        <v>2.0</v>
      </c>
      <c r="G58" s="18"/>
      <c r="H58" s="18"/>
      <c r="I58" s="18"/>
      <c r="J58" s="18"/>
      <c r="K58" s="18"/>
      <c r="L58" s="22">
        <f t="shared" si="1"/>
        <v>0</v>
      </c>
      <c r="M58" s="23"/>
      <c r="N58" s="23"/>
      <c r="O58" s="23"/>
      <c r="P58" s="23"/>
      <c r="Q58" s="23"/>
      <c r="R58" s="23"/>
      <c r="S58" s="22">
        <f t="shared" si="2"/>
        <v>0</v>
      </c>
      <c r="T58" s="22">
        <f t="shared" si="3"/>
        <v>0</v>
      </c>
      <c r="U58" s="22">
        <f t="shared" si="4"/>
        <v>0</v>
      </c>
      <c r="V58" s="28"/>
      <c r="W58" s="28"/>
      <c r="X58" s="28"/>
      <c r="Y58" s="29"/>
      <c r="Z58" s="28"/>
    </row>
    <row r="59" ht="18.75" customHeight="1">
      <c r="A59" s="13">
        <v>46327.0</v>
      </c>
      <c r="B59" s="16" t="s">
        <v>209</v>
      </c>
      <c r="C59" s="16" t="s">
        <v>58</v>
      </c>
      <c r="D59" s="12">
        <v>9.0</v>
      </c>
      <c r="E59" s="16" t="s">
        <v>115</v>
      </c>
      <c r="F59" s="12">
        <v>2.0</v>
      </c>
      <c r="G59" s="18"/>
      <c r="H59" s="18"/>
      <c r="I59" s="18"/>
      <c r="J59" s="18"/>
      <c r="K59" s="18"/>
      <c r="L59" s="22">
        <f t="shared" si="1"/>
        <v>0</v>
      </c>
      <c r="M59" s="23"/>
      <c r="N59" s="23"/>
      <c r="O59" s="23"/>
      <c r="P59" s="23"/>
      <c r="Q59" s="23"/>
      <c r="R59" s="23"/>
      <c r="S59" s="22">
        <f t="shared" si="2"/>
        <v>0</v>
      </c>
      <c r="T59" s="22">
        <f t="shared" si="3"/>
        <v>0</v>
      </c>
      <c r="U59" s="22">
        <f t="shared" si="4"/>
        <v>0</v>
      </c>
      <c r="V59" s="28"/>
      <c r="W59" s="28"/>
      <c r="X59" s="28"/>
      <c r="Y59" s="29"/>
      <c r="Z59" s="28"/>
    </row>
    <row r="60" ht="18.75" customHeight="1">
      <c r="A60" s="13">
        <v>46328.0</v>
      </c>
      <c r="B60" s="16" t="s">
        <v>210</v>
      </c>
      <c r="C60" s="16" t="s">
        <v>66</v>
      </c>
      <c r="D60" s="12">
        <v>9.0</v>
      </c>
      <c r="E60" s="16" t="s">
        <v>115</v>
      </c>
      <c r="F60" s="12">
        <v>2.0</v>
      </c>
      <c r="G60" s="18"/>
      <c r="H60" s="18"/>
      <c r="I60" s="18"/>
      <c r="J60" s="18"/>
      <c r="K60" s="18"/>
      <c r="L60" s="22">
        <f t="shared" si="1"/>
        <v>0</v>
      </c>
      <c r="M60" s="23"/>
      <c r="N60" s="23"/>
      <c r="O60" s="23"/>
      <c r="P60" s="23"/>
      <c r="Q60" s="23"/>
      <c r="R60" s="23"/>
      <c r="S60" s="22">
        <f t="shared" si="2"/>
        <v>0</v>
      </c>
      <c r="T60" s="22">
        <f t="shared" si="3"/>
        <v>0</v>
      </c>
      <c r="U60" s="22">
        <f t="shared" si="4"/>
        <v>0</v>
      </c>
      <c r="V60" s="28"/>
      <c r="W60" s="28"/>
      <c r="X60" s="28"/>
      <c r="Y60" s="29"/>
      <c r="Z60" s="28"/>
    </row>
    <row r="61" ht="18.75" customHeight="1">
      <c r="A61" s="13">
        <v>46329.0</v>
      </c>
      <c r="B61" s="16" t="s">
        <v>211</v>
      </c>
      <c r="C61" s="16" t="s">
        <v>72</v>
      </c>
      <c r="D61" s="12">
        <v>9.0</v>
      </c>
      <c r="E61" s="16" t="s">
        <v>115</v>
      </c>
      <c r="F61" s="12">
        <v>2.0</v>
      </c>
      <c r="G61" s="18"/>
      <c r="H61" s="18"/>
      <c r="I61" s="18"/>
      <c r="J61" s="18"/>
      <c r="K61" s="18"/>
      <c r="L61" s="22">
        <f t="shared" si="1"/>
        <v>0</v>
      </c>
      <c r="M61" s="23"/>
      <c r="N61" s="23"/>
      <c r="O61" s="23"/>
      <c r="P61" s="23"/>
      <c r="Q61" s="23"/>
      <c r="R61" s="23"/>
      <c r="S61" s="22">
        <f t="shared" si="2"/>
        <v>0</v>
      </c>
      <c r="T61" s="22">
        <f t="shared" si="3"/>
        <v>0</v>
      </c>
      <c r="U61" s="22">
        <f t="shared" si="4"/>
        <v>0</v>
      </c>
      <c r="V61" s="28"/>
      <c r="W61" s="28"/>
      <c r="X61" s="28"/>
      <c r="Y61" s="29"/>
      <c r="Z61" s="28"/>
    </row>
    <row r="62" ht="18.75" customHeight="1">
      <c r="A62" s="13">
        <v>46330.0</v>
      </c>
      <c r="B62" s="16" t="s">
        <v>212</v>
      </c>
      <c r="C62" s="16" t="s">
        <v>78</v>
      </c>
      <c r="D62" s="12">
        <v>9.0</v>
      </c>
      <c r="E62" s="16" t="s">
        <v>115</v>
      </c>
      <c r="F62" s="12">
        <v>2.0</v>
      </c>
      <c r="G62" s="18"/>
      <c r="H62" s="18"/>
      <c r="I62" s="18"/>
      <c r="J62" s="18"/>
      <c r="K62" s="18"/>
      <c r="L62" s="22">
        <f t="shared" si="1"/>
        <v>0</v>
      </c>
      <c r="M62" s="23"/>
      <c r="N62" s="23"/>
      <c r="O62" s="23"/>
      <c r="P62" s="23"/>
      <c r="Q62" s="23"/>
      <c r="R62" s="23"/>
      <c r="S62" s="22">
        <f t="shared" si="2"/>
        <v>0</v>
      </c>
      <c r="T62" s="22">
        <f t="shared" si="3"/>
        <v>0</v>
      </c>
      <c r="U62" s="22">
        <f t="shared" si="4"/>
        <v>0</v>
      </c>
      <c r="V62" s="28"/>
      <c r="W62" s="28"/>
      <c r="X62" s="28"/>
      <c r="Y62" s="29"/>
      <c r="Z62" s="28"/>
    </row>
    <row r="63" ht="18.75" customHeight="1">
      <c r="A63" s="13">
        <v>46331.0</v>
      </c>
      <c r="B63" s="16" t="s">
        <v>213</v>
      </c>
      <c r="C63" s="16" t="s">
        <v>86</v>
      </c>
      <c r="D63" s="12">
        <v>9.0</v>
      </c>
      <c r="E63" s="16" t="s">
        <v>115</v>
      </c>
      <c r="F63" s="12">
        <v>2.0</v>
      </c>
      <c r="G63" s="18"/>
      <c r="H63" s="18"/>
      <c r="I63" s="18"/>
      <c r="J63" s="18"/>
      <c r="K63" s="18"/>
      <c r="L63" s="22">
        <f t="shared" si="1"/>
        <v>0</v>
      </c>
      <c r="M63" s="23"/>
      <c r="N63" s="23"/>
      <c r="O63" s="23"/>
      <c r="P63" s="23"/>
      <c r="Q63" s="23"/>
      <c r="R63" s="23"/>
      <c r="S63" s="22">
        <f t="shared" si="2"/>
        <v>0</v>
      </c>
      <c r="T63" s="22">
        <f t="shared" si="3"/>
        <v>0</v>
      </c>
      <c r="U63" s="22">
        <f t="shared" si="4"/>
        <v>0</v>
      </c>
      <c r="V63" s="28"/>
      <c r="W63" s="28"/>
      <c r="X63" s="28"/>
      <c r="Y63" s="29"/>
      <c r="Z63" s="28"/>
    </row>
    <row r="64" ht="18.75" customHeight="1">
      <c r="A64" s="32">
        <v>46332.0</v>
      </c>
      <c r="B64" s="33" t="s">
        <v>215</v>
      </c>
      <c r="C64" s="33" t="s">
        <v>93</v>
      </c>
      <c r="D64" s="34">
        <v>9.0</v>
      </c>
      <c r="E64" s="33" t="s">
        <v>115</v>
      </c>
      <c r="F64" s="34">
        <v>2.0</v>
      </c>
      <c r="G64" s="18"/>
      <c r="H64" s="18"/>
      <c r="I64" s="18"/>
      <c r="J64" s="18"/>
      <c r="K64" s="18"/>
      <c r="L64" s="22">
        <f t="shared" si="1"/>
        <v>0</v>
      </c>
      <c r="M64" s="23"/>
      <c r="N64" s="23"/>
      <c r="O64" s="23"/>
      <c r="P64" s="23"/>
      <c r="Q64" s="23"/>
      <c r="R64" s="23"/>
      <c r="S64" s="22">
        <f t="shared" si="2"/>
        <v>0</v>
      </c>
      <c r="T64" s="22">
        <f t="shared" si="3"/>
        <v>0</v>
      </c>
      <c r="U64" s="22">
        <f t="shared" si="4"/>
        <v>0</v>
      </c>
      <c r="V64" s="28"/>
      <c r="W64" s="28"/>
      <c r="X64" s="28"/>
      <c r="Y64" s="29"/>
      <c r="Z64" s="28"/>
    </row>
    <row r="65" ht="18.75" customHeight="1">
      <c r="A65" s="13">
        <v>46333.0</v>
      </c>
      <c r="B65" s="16" t="s">
        <v>216</v>
      </c>
      <c r="C65" s="16" t="s">
        <v>98</v>
      </c>
      <c r="D65" s="12">
        <v>9.0</v>
      </c>
      <c r="E65" s="16" t="s">
        <v>115</v>
      </c>
      <c r="F65" s="12">
        <v>2.0</v>
      </c>
      <c r="G65" s="18"/>
      <c r="H65" s="18"/>
      <c r="I65" s="18"/>
      <c r="J65" s="18"/>
      <c r="K65" s="18"/>
      <c r="L65" s="22">
        <f t="shared" si="1"/>
        <v>0</v>
      </c>
      <c r="M65" s="23"/>
      <c r="N65" s="23"/>
      <c r="O65" s="23"/>
      <c r="P65" s="23"/>
      <c r="Q65" s="23"/>
      <c r="R65" s="23"/>
      <c r="S65" s="22">
        <f t="shared" si="2"/>
        <v>0</v>
      </c>
      <c r="T65" s="22">
        <f t="shared" si="3"/>
        <v>0</v>
      </c>
      <c r="U65" s="22">
        <f t="shared" si="4"/>
        <v>0</v>
      </c>
      <c r="V65" s="28"/>
      <c r="W65" s="28"/>
      <c r="X65" s="28"/>
      <c r="Y65" s="29"/>
      <c r="Z65" s="28"/>
    </row>
    <row r="66" ht="18.75" customHeight="1">
      <c r="A66" s="13">
        <v>46334.0</v>
      </c>
      <c r="B66" s="16" t="s">
        <v>217</v>
      </c>
      <c r="C66" s="16" t="s">
        <v>58</v>
      </c>
      <c r="D66" s="12">
        <v>10.0</v>
      </c>
      <c r="E66" s="16" t="s">
        <v>115</v>
      </c>
      <c r="F66" s="12">
        <v>2.0</v>
      </c>
      <c r="G66" s="18"/>
      <c r="H66" s="18"/>
      <c r="I66" s="18"/>
      <c r="J66" s="18"/>
      <c r="K66" s="18"/>
      <c r="L66" s="22">
        <f t="shared" si="1"/>
        <v>0</v>
      </c>
      <c r="M66" s="23"/>
      <c r="N66" s="23"/>
      <c r="O66" s="23"/>
      <c r="P66" s="23"/>
      <c r="Q66" s="23"/>
      <c r="R66" s="23"/>
      <c r="S66" s="22">
        <f t="shared" si="2"/>
        <v>0</v>
      </c>
      <c r="T66" s="22">
        <f t="shared" si="3"/>
        <v>0</v>
      </c>
      <c r="U66" s="22">
        <f t="shared" si="4"/>
        <v>0</v>
      </c>
      <c r="V66" s="28"/>
      <c r="W66" s="28"/>
      <c r="X66" s="28"/>
      <c r="Y66" s="29"/>
      <c r="Z66" s="28"/>
    </row>
    <row r="67" ht="18.75" customHeight="1">
      <c r="A67" s="13">
        <v>46335.0</v>
      </c>
      <c r="B67" s="16" t="s">
        <v>218</v>
      </c>
      <c r="C67" s="16" t="s">
        <v>66</v>
      </c>
      <c r="D67" s="12">
        <v>10.0</v>
      </c>
      <c r="E67" s="16" t="s">
        <v>115</v>
      </c>
      <c r="F67" s="12">
        <v>2.0</v>
      </c>
      <c r="G67" s="18"/>
      <c r="H67" s="18"/>
      <c r="I67" s="18"/>
      <c r="J67" s="18"/>
      <c r="K67" s="18"/>
      <c r="L67" s="22">
        <f t="shared" si="1"/>
        <v>0</v>
      </c>
      <c r="M67" s="23"/>
      <c r="N67" s="23"/>
      <c r="O67" s="23"/>
      <c r="P67" s="23"/>
      <c r="Q67" s="23"/>
      <c r="R67" s="23"/>
      <c r="S67" s="22">
        <f t="shared" si="2"/>
        <v>0</v>
      </c>
      <c r="T67" s="22">
        <f t="shared" si="3"/>
        <v>0</v>
      </c>
      <c r="U67" s="22">
        <f t="shared" si="4"/>
        <v>0</v>
      </c>
      <c r="V67" s="28"/>
      <c r="W67" s="28"/>
      <c r="X67" s="28"/>
      <c r="Y67" s="29"/>
      <c r="Z67" s="28"/>
    </row>
    <row r="68" ht="18.75" customHeight="1">
      <c r="A68" s="13">
        <v>46336.0</v>
      </c>
      <c r="B68" s="16" t="s">
        <v>220</v>
      </c>
      <c r="C68" s="16" t="s">
        <v>72</v>
      </c>
      <c r="D68" s="12">
        <v>10.0</v>
      </c>
      <c r="E68" s="16" t="s">
        <v>115</v>
      </c>
      <c r="F68" s="12">
        <v>2.0</v>
      </c>
      <c r="G68" s="18"/>
      <c r="H68" s="18"/>
      <c r="I68" s="18"/>
      <c r="J68" s="18"/>
      <c r="K68" s="18"/>
      <c r="L68" s="22">
        <f t="shared" si="1"/>
        <v>0</v>
      </c>
      <c r="M68" s="23"/>
      <c r="N68" s="23"/>
      <c r="O68" s="23"/>
      <c r="P68" s="23"/>
      <c r="Q68" s="23"/>
      <c r="R68" s="23"/>
      <c r="S68" s="22">
        <f t="shared" si="2"/>
        <v>0</v>
      </c>
      <c r="T68" s="22">
        <f t="shared" si="3"/>
        <v>0</v>
      </c>
      <c r="U68" s="22">
        <f t="shared" si="4"/>
        <v>0</v>
      </c>
      <c r="V68" s="28"/>
      <c r="W68" s="28"/>
      <c r="X68" s="28"/>
      <c r="Y68" s="29"/>
      <c r="Z68" s="28"/>
    </row>
    <row r="69" ht="18.75" customHeight="1">
      <c r="A69" s="13">
        <v>46337.0</v>
      </c>
      <c r="B69" s="16" t="s">
        <v>221</v>
      </c>
      <c r="C69" s="16" t="s">
        <v>78</v>
      </c>
      <c r="D69" s="12">
        <v>10.0</v>
      </c>
      <c r="E69" s="16" t="s">
        <v>115</v>
      </c>
      <c r="F69" s="12">
        <v>2.0</v>
      </c>
      <c r="G69" s="18"/>
      <c r="H69" s="18"/>
      <c r="I69" s="18"/>
      <c r="J69" s="18"/>
      <c r="K69" s="18"/>
      <c r="L69" s="22">
        <f t="shared" si="1"/>
        <v>0</v>
      </c>
      <c r="M69" s="23"/>
      <c r="N69" s="23"/>
      <c r="O69" s="23"/>
      <c r="P69" s="23"/>
      <c r="Q69" s="23"/>
      <c r="R69" s="23"/>
      <c r="S69" s="22">
        <f t="shared" si="2"/>
        <v>0</v>
      </c>
      <c r="T69" s="22">
        <f t="shared" si="3"/>
        <v>0</v>
      </c>
      <c r="U69" s="22">
        <f t="shared" si="4"/>
        <v>0</v>
      </c>
      <c r="V69" s="28"/>
      <c r="W69" s="28"/>
      <c r="X69" s="28"/>
      <c r="Y69" s="29"/>
      <c r="Z69" s="28"/>
    </row>
    <row r="70" ht="18.75" customHeight="1">
      <c r="A70" s="13">
        <v>46338.0</v>
      </c>
      <c r="B70" s="16" t="s">
        <v>222</v>
      </c>
      <c r="C70" s="16" t="s">
        <v>86</v>
      </c>
      <c r="D70" s="12">
        <v>10.0</v>
      </c>
      <c r="E70" s="16" t="s">
        <v>115</v>
      </c>
      <c r="F70" s="12">
        <v>2.0</v>
      </c>
      <c r="G70" s="18"/>
      <c r="H70" s="18"/>
      <c r="I70" s="18"/>
      <c r="J70" s="18"/>
      <c r="K70" s="18"/>
      <c r="L70" s="22">
        <f t="shared" si="1"/>
        <v>0</v>
      </c>
      <c r="M70" s="23"/>
      <c r="N70" s="23"/>
      <c r="O70" s="23"/>
      <c r="P70" s="23"/>
      <c r="Q70" s="23"/>
      <c r="R70" s="23"/>
      <c r="S70" s="22">
        <f t="shared" si="2"/>
        <v>0</v>
      </c>
      <c r="T70" s="22">
        <f t="shared" si="3"/>
        <v>0</v>
      </c>
      <c r="U70" s="22">
        <f t="shared" si="4"/>
        <v>0</v>
      </c>
      <c r="V70" s="28"/>
      <c r="W70" s="28"/>
      <c r="X70" s="28"/>
      <c r="Y70" s="29"/>
      <c r="Z70" s="28"/>
    </row>
    <row r="71" ht="18.75" customHeight="1">
      <c r="A71" s="32">
        <v>46339.0</v>
      </c>
      <c r="B71" s="33" t="s">
        <v>223</v>
      </c>
      <c r="C71" s="33" t="s">
        <v>93</v>
      </c>
      <c r="D71" s="34">
        <v>10.0</v>
      </c>
      <c r="E71" s="33" t="s">
        <v>115</v>
      </c>
      <c r="F71" s="34">
        <v>2.0</v>
      </c>
      <c r="G71" s="18"/>
      <c r="H71" s="18"/>
      <c r="I71" s="18"/>
      <c r="J71" s="18"/>
      <c r="K71" s="18"/>
      <c r="L71" s="22">
        <f t="shared" si="1"/>
        <v>0</v>
      </c>
      <c r="M71" s="23"/>
      <c r="N71" s="23"/>
      <c r="O71" s="23"/>
      <c r="P71" s="23"/>
      <c r="Q71" s="23"/>
      <c r="R71" s="23"/>
      <c r="S71" s="22">
        <f t="shared" si="2"/>
        <v>0</v>
      </c>
      <c r="T71" s="22">
        <f t="shared" si="3"/>
        <v>0</v>
      </c>
      <c r="U71" s="22">
        <f t="shared" si="4"/>
        <v>0</v>
      </c>
      <c r="V71" s="28"/>
      <c r="W71" s="28"/>
      <c r="X71" s="28"/>
      <c r="Y71" s="29"/>
      <c r="Z71" s="28"/>
    </row>
    <row r="72" ht="18.75" customHeight="1">
      <c r="A72" s="13">
        <v>46340.0</v>
      </c>
      <c r="B72" s="16" t="s">
        <v>225</v>
      </c>
      <c r="C72" s="16" t="s">
        <v>98</v>
      </c>
      <c r="D72" s="12">
        <v>10.0</v>
      </c>
      <c r="E72" s="16" t="s">
        <v>115</v>
      </c>
      <c r="F72" s="12">
        <v>2.0</v>
      </c>
      <c r="G72" s="18"/>
      <c r="H72" s="18"/>
      <c r="I72" s="18"/>
      <c r="J72" s="18"/>
      <c r="K72" s="18"/>
      <c r="L72" s="22">
        <f t="shared" si="1"/>
        <v>0</v>
      </c>
      <c r="M72" s="23"/>
      <c r="N72" s="23"/>
      <c r="O72" s="23"/>
      <c r="P72" s="23"/>
      <c r="Q72" s="23"/>
      <c r="R72" s="23"/>
      <c r="S72" s="22">
        <f t="shared" si="2"/>
        <v>0</v>
      </c>
      <c r="T72" s="22">
        <f t="shared" si="3"/>
        <v>0</v>
      </c>
      <c r="U72" s="22">
        <f t="shared" si="4"/>
        <v>0</v>
      </c>
      <c r="V72" s="28"/>
      <c r="W72" s="28"/>
      <c r="X72" s="28"/>
      <c r="Y72" s="29"/>
      <c r="Z72" s="28"/>
    </row>
    <row r="73" ht="18.75" customHeight="1">
      <c r="A73" s="13">
        <v>46341.0</v>
      </c>
      <c r="B73" s="16" t="s">
        <v>226</v>
      </c>
      <c r="C73" s="16" t="s">
        <v>58</v>
      </c>
      <c r="D73" s="12">
        <v>11.0</v>
      </c>
      <c r="E73" s="16" t="s">
        <v>115</v>
      </c>
      <c r="F73" s="12">
        <v>2.0</v>
      </c>
      <c r="G73" s="18"/>
      <c r="H73" s="18"/>
      <c r="I73" s="18"/>
      <c r="J73" s="18"/>
      <c r="K73" s="18"/>
      <c r="L73" s="22">
        <f t="shared" si="1"/>
        <v>0</v>
      </c>
      <c r="M73" s="23"/>
      <c r="N73" s="23"/>
      <c r="O73" s="23"/>
      <c r="P73" s="23"/>
      <c r="Q73" s="23"/>
      <c r="R73" s="23"/>
      <c r="S73" s="22">
        <f t="shared" si="2"/>
        <v>0</v>
      </c>
      <c r="T73" s="22">
        <f t="shared" si="3"/>
        <v>0</v>
      </c>
      <c r="U73" s="22">
        <f t="shared" si="4"/>
        <v>0</v>
      </c>
      <c r="V73" s="28"/>
      <c r="W73" s="28"/>
      <c r="X73" s="28"/>
      <c r="Y73" s="29"/>
      <c r="Z73" s="28"/>
    </row>
    <row r="74" ht="18.75" customHeight="1">
      <c r="A74" s="13">
        <v>46342.0</v>
      </c>
      <c r="B74" s="16" t="s">
        <v>227</v>
      </c>
      <c r="C74" s="16" t="s">
        <v>66</v>
      </c>
      <c r="D74" s="12">
        <v>11.0</v>
      </c>
      <c r="E74" s="16" t="s">
        <v>115</v>
      </c>
      <c r="F74" s="12">
        <v>2.0</v>
      </c>
      <c r="G74" s="18"/>
      <c r="H74" s="18"/>
      <c r="I74" s="18"/>
      <c r="J74" s="18"/>
      <c r="K74" s="18"/>
      <c r="L74" s="22">
        <f t="shared" si="1"/>
        <v>0</v>
      </c>
      <c r="M74" s="23"/>
      <c r="N74" s="23"/>
      <c r="O74" s="23"/>
      <c r="P74" s="23"/>
      <c r="Q74" s="23"/>
      <c r="R74" s="23"/>
      <c r="S74" s="22">
        <f t="shared" si="2"/>
        <v>0</v>
      </c>
      <c r="T74" s="22">
        <f t="shared" si="3"/>
        <v>0</v>
      </c>
      <c r="U74" s="22">
        <f t="shared" si="4"/>
        <v>0</v>
      </c>
      <c r="V74" s="28"/>
      <c r="W74" s="28"/>
      <c r="X74" s="28"/>
      <c r="Y74" s="29"/>
      <c r="Z74" s="28"/>
    </row>
    <row r="75" ht="18.75" customHeight="1">
      <c r="A75" s="13">
        <v>46343.0</v>
      </c>
      <c r="B75" s="16" t="s">
        <v>228</v>
      </c>
      <c r="C75" s="16" t="s">
        <v>72</v>
      </c>
      <c r="D75" s="12">
        <v>11.0</v>
      </c>
      <c r="E75" s="16" t="s">
        <v>115</v>
      </c>
      <c r="F75" s="12">
        <v>2.0</v>
      </c>
      <c r="G75" s="18"/>
      <c r="H75" s="18"/>
      <c r="I75" s="18"/>
      <c r="J75" s="18"/>
      <c r="K75" s="18"/>
      <c r="L75" s="22">
        <f t="shared" si="1"/>
        <v>0</v>
      </c>
      <c r="M75" s="23"/>
      <c r="N75" s="23"/>
      <c r="O75" s="23"/>
      <c r="P75" s="23"/>
      <c r="Q75" s="23"/>
      <c r="R75" s="23"/>
      <c r="S75" s="22">
        <f t="shared" si="2"/>
        <v>0</v>
      </c>
      <c r="T75" s="22">
        <f t="shared" si="3"/>
        <v>0</v>
      </c>
      <c r="U75" s="22">
        <f t="shared" si="4"/>
        <v>0</v>
      </c>
      <c r="V75" s="28"/>
      <c r="W75" s="28"/>
      <c r="X75" s="28"/>
      <c r="Y75" s="29"/>
      <c r="Z75" s="28"/>
    </row>
    <row r="76" ht="18.75" customHeight="1">
      <c r="A76" s="13">
        <v>46344.0</v>
      </c>
      <c r="B76" s="16" t="s">
        <v>230</v>
      </c>
      <c r="C76" s="16" t="s">
        <v>78</v>
      </c>
      <c r="D76" s="12">
        <v>11.0</v>
      </c>
      <c r="E76" s="16" t="s">
        <v>115</v>
      </c>
      <c r="F76" s="12">
        <v>2.0</v>
      </c>
      <c r="G76" s="18"/>
      <c r="H76" s="18"/>
      <c r="I76" s="18"/>
      <c r="J76" s="18"/>
      <c r="K76" s="18"/>
      <c r="L76" s="22">
        <f t="shared" si="1"/>
        <v>0</v>
      </c>
      <c r="M76" s="23"/>
      <c r="N76" s="23"/>
      <c r="O76" s="23"/>
      <c r="P76" s="23"/>
      <c r="Q76" s="23"/>
      <c r="R76" s="23"/>
      <c r="S76" s="22">
        <f t="shared" si="2"/>
        <v>0</v>
      </c>
      <c r="T76" s="22">
        <f t="shared" si="3"/>
        <v>0</v>
      </c>
      <c r="U76" s="22">
        <f t="shared" si="4"/>
        <v>0</v>
      </c>
      <c r="V76" s="28"/>
      <c r="W76" s="28"/>
      <c r="X76" s="28"/>
      <c r="Y76" s="29"/>
      <c r="Z76" s="28"/>
    </row>
    <row r="77" ht="18.75" customHeight="1">
      <c r="A77" s="13">
        <v>46345.0</v>
      </c>
      <c r="B77" s="16" t="s">
        <v>231</v>
      </c>
      <c r="C77" s="16" t="s">
        <v>86</v>
      </c>
      <c r="D77" s="12">
        <v>11.0</v>
      </c>
      <c r="E77" s="16" t="s">
        <v>115</v>
      </c>
      <c r="F77" s="12">
        <v>2.0</v>
      </c>
      <c r="G77" s="18"/>
      <c r="H77" s="18"/>
      <c r="I77" s="18"/>
      <c r="J77" s="18"/>
      <c r="K77" s="18"/>
      <c r="L77" s="22">
        <f t="shared" si="1"/>
        <v>0</v>
      </c>
      <c r="M77" s="23"/>
      <c r="N77" s="23"/>
      <c r="O77" s="23"/>
      <c r="P77" s="23"/>
      <c r="Q77" s="23"/>
      <c r="R77" s="23"/>
      <c r="S77" s="22">
        <f t="shared" si="2"/>
        <v>0</v>
      </c>
      <c r="T77" s="22">
        <f t="shared" si="3"/>
        <v>0</v>
      </c>
      <c r="U77" s="22">
        <f t="shared" si="4"/>
        <v>0</v>
      </c>
      <c r="V77" s="28"/>
      <c r="W77" s="28"/>
      <c r="X77" s="28"/>
      <c r="Y77" s="29"/>
      <c r="Z77" s="28"/>
    </row>
    <row r="78" ht="18.75" customHeight="1">
      <c r="A78" s="32">
        <v>46346.0</v>
      </c>
      <c r="B78" s="33" t="s">
        <v>232</v>
      </c>
      <c r="C78" s="33" t="s">
        <v>93</v>
      </c>
      <c r="D78" s="34">
        <v>11.0</v>
      </c>
      <c r="E78" s="33" t="s">
        <v>115</v>
      </c>
      <c r="F78" s="34">
        <v>2.0</v>
      </c>
      <c r="G78" s="18"/>
      <c r="H78" s="18"/>
      <c r="I78" s="18"/>
      <c r="J78" s="18"/>
      <c r="K78" s="18"/>
      <c r="L78" s="22">
        <f t="shared" si="1"/>
        <v>0</v>
      </c>
      <c r="M78" s="23"/>
      <c r="N78" s="23"/>
      <c r="O78" s="23"/>
      <c r="P78" s="23"/>
      <c r="Q78" s="23"/>
      <c r="R78" s="23"/>
      <c r="S78" s="22">
        <f t="shared" si="2"/>
        <v>0</v>
      </c>
      <c r="T78" s="22">
        <f t="shared" si="3"/>
        <v>0</v>
      </c>
      <c r="U78" s="22">
        <f t="shared" si="4"/>
        <v>0</v>
      </c>
      <c r="V78" s="28"/>
      <c r="W78" s="28"/>
      <c r="X78" s="28"/>
      <c r="Y78" s="29"/>
      <c r="Z78" s="28"/>
    </row>
    <row r="79" ht="18.75" customHeight="1">
      <c r="A79" s="13">
        <v>46347.0</v>
      </c>
      <c r="B79" s="16" t="s">
        <v>233</v>
      </c>
      <c r="C79" s="16" t="s">
        <v>98</v>
      </c>
      <c r="D79" s="12">
        <v>11.0</v>
      </c>
      <c r="E79" s="16" t="s">
        <v>115</v>
      </c>
      <c r="F79" s="12">
        <v>2.0</v>
      </c>
      <c r="G79" s="18"/>
      <c r="H79" s="18"/>
      <c r="I79" s="18"/>
      <c r="J79" s="18"/>
      <c r="K79" s="18"/>
      <c r="L79" s="22">
        <f t="shared" si="1"/>
        <v>0</v>
      </c>
      <c r="M79" s="23"/>
      <c r="N79" s="23"/>
      <c r="O79" s="23"/>
      <c r="P79" s="23"/>
      <c r="Q79" s="23"/>
      <c r="R79" s="23"/>
      <c r="S79" s="22">
        <f t="shared" si="2"/>
        <v>0</v>
      </c>
      <c r="T79" s="22">
        <f t="shared" si="3"/>
        <v>0</v>
      </c>
      <c r="U79" s="22">
        <f t="shared" si="4"/>
        <v>0</v>
      </c>
      <c r="V79" s="28"/>
      <c r="W79" s="28"/>
      <c r="X79" s="28"/>
      <c r="Y79" s="29"/>
      <c r="Z79" s="28"/>
    </row>
    <row r="80" ht="18.75" customHeight="1">
      <c r="A80" s="13">
        <v>46348.0</v>
      </c>
      <c r="B80" s="16" t="s">
        <v>235</v>
      </c>
      <c r="C80" s="16" t="s">
        <v>58</v>
      </c>
      <c r="D80" s="12">
        <v>12.0</v>
      </c>
      <c r="E80" s="16" t="s">
        <v>140</v>
      </c>
      <c r="F80" s="12">
        <v>2.0</v>
      </c>
      <c r="G80" s="18"/>
      <c r="H80" s="18"/>
      <c r="I80" s="18"/>
      <c r="J80" s="18"/>
      <c r="K80" s="18"/>
      <c r="L80" s="22">
        <f t="shared" si="1"/>
        <v>0</v>
      </c>
      <c r="M80" s="23"/>
      <c r="N80" s="23"/>
      <c r="O80" s="23"/>
      <c r="P80" s="23"/>
      <c r="Q80" s="23"/>
      <c r="R80" s="23"/>
      <c r="S80" s="22">
        <f t="shared" si="2"/>
        <v>0</v>
      </c>
      <c r="T80" s="22">
        <f t="shared" si="3"/>
        <v>0</v>
      </c>
      <c r="U80" s="22">
        <f t="shared" si="4"/>
        <v>0</v>
      </c>
      <c r="V80" s="28"/>
      <c r="W80" s="28"/>
      <c r="X80" s="28"/>
      <c r="Y80" s="29"/>
      <c r="Z80" s="28"/>
    </row>
    <row r="81" ht="18.75" customHeight="1">
      <c r="A81" s="13">
        <v>46349.0</v>
      </c>
      <c r="B81" s="16" t="s">
        <v>236</v>
      </c>
      <c r="C81" s="16" t="s">
        <v>66</v>
      </c>
      <c r="D81" s="12">
        <v>12.0</v>
      </c>
      <c r="E81" s="16" t="s">
        <v>140</v>
      </c>
      <c r="F81" s="12">
        <v>2.0</v>
      </c>
      <c r="G81" s="18"/>
      <c r="H81" s="18"/>
      <c r="I81" s="18"/>
      <c r="J81" s="18"/>
      <c r="K81" s="18"/>
      <c r="L81" s="22">
        <f t="shared" si="1"/>
        <v>0</v>
      </c>
      <c r="M81" s="23"/>
      <c r="N81" s="23"/>
      <c r="O81" s="23"/>
      <c r="P81" s="23"/>
      <c r="Q81" s="23"/>
      <c r="R81" s="23"/>
      <c r="S81" s="22">
        <f t="shared" si="2"/>
        <v>0</v>
      </c>
      <c r="T81" s="22">
        <f t="shared" si="3"/>
        <v>0</v>
      </c>
      <c r="U81" s="22">
        <f t="shared" si="4"/>
        <v>0</v>
      </c>
      <c r="V81" s="28"/>
      <c r="W81" s="28"/>
      <c r="X81" s="28"/>
      <c r="Y81" s="29"/>
      <c r="Z81" s="28"/>
    </row>
    <row r="82" ht="18.75" customHeight="1">
      <c r="A82" s="13">
        <v>46350.0</v>
      </c>
      <c r="B82" s="16" t="s">
        <v>237</v>
      </c>
      <c r="C82" s="16" t="s">
        <v>72</v>
      </c>
      <c r="D82" s="12">
        <v>12.0</v>
      </c>
      <c r="E82" s="16" t="s">
        <v>140</v>
      </c>
      <c r="F82" s="12">
        <v>2.0</v>
      </c>
      <c r="G82" s="18"/>
      <c r="H82" s="18"/>
      <c r="I82" s="18"/>
      <c r="J82" s="18"/>
      <c r="K82" s="18"/>
      <c r="L82" s="22">
        <f t="shared" si="1"/>
        <v>0</v>
      </c>
      <c r="M82" s="23"/>
      <c r="N82" s="23"/>
      <c r="O82" s="23"/>
      <c r="P82" s="23"/>
      <c r="Q82" s="23"/>
      <c r="R82" s="23"/>
      <c r="S82" s="22">
        <f t="shared" si="2"/>
        <v>0</v>
      </c>
      <c r="T82" s="22">
        <f t="shared" si="3"/>
        <v>0</v>
      </c>
      <c r="U82" s="22">
        <f t="shared" si="4"/>
        <v>0</v>
      </c>
      <c r="V82" s="28"/>
      <c r="W82" s="28"/>
      <c r="X82" s="28"/>
      <c r="Y82" s="29"/>
      <c r="Z82" s="28"/>
    </row>
    <row r="83" ht="18.75" customHeight="1">
      <c r="A83" s="13">
        <v>46351.0</v>
      </c>
      <c r="B83" s="16" t="s">
        <v>238</v>
      </c>
      <c r="C83" s="16" t="s">
        <v>78</v>
      </c>
      <c r="D83" s="12">
        <v>12.0</v>
      </c>
      <c r="E83" s="16" t="s">
        <v>140</v>
      </c>
      <c r="F83" s="12">
        <v>2.0</v>
      </c>
      <c r="G83" s="18"/>
      <c r="H83" s="18"/>
      <c r="I83" s="18"/>
      <c r="J83" s="18"/>
      <c r="K83" s="18"/>
      <c r="L83" s="22">
        <f t="shared" si="1"/>
        <v>0</v>
      </c>
      <c r="M83" s="23"/>
      <c r="N83" s="23"/>
      <c r="O83" s="23"/>
      <c r="P83" s="23"/>
      <c r="Q83" s="23"/>
      <c r="R83" s="23"/>
      <c r="S83" s="22">
        <f t="shared" si="2"/>
        <v>0</v>
      </c>
      <c r="T83" s="22">
        <f t="shared" si="3"/>
        <v>0</v>
      </c>
      <c r="U83" s="22">
        <f t="shared" si="4"/>
        <v>0</v>
      </c>
      <c r="V83" s="28"/>
      <c r="W83" s="28"/>
      <c r="X83" s="28"/>
      <c r="Y83" s="29"/>
      <c r="Z83" s="28"/>
    </row>
    <row r="84" ht="18.75" customHeight="1">
      <c r="A84" s="13">
        <v>46352.0</v>
      </c>
      <c r="B84" s="16" t="s">
        <v>240</v>
      </c>
      <c r="C84" s="16" t="s">
        <v>86</v>
      </c>
      <c r="D84" s="12">
        <v>12.0</v>
      </c>
      <c r="E84" s="16" t="s">
        <v>140</v>
      </c>
      <c r="F84" s="12">
        <v>2.0</v>
      </c>
      <c r="G84" s="18"/>
      <c r="H84" s="18"/>
      <c r="I84" s="18"/>
      <c r="J84" s="18"/>
      <c r="K84" s="18"/>
      <c r="L84" s="22">
        <f t="shared" si="1"/>
        <v>0</v>
      </c>
      <c r="M84" s="23"/>
      <c r="N84" s="23"/>
      <c r="O84" s="23"/>
      <c r="P84" s="23"/>
      <c r="Q84" s="23"/>
      <c r="R84" s="23"/>
      <c r="S84" s="22">
        <f t="shared" si="2"/>
        <v>0</v>
      </c>
      <c r="T84" s="22">
        <f t="shared" si="3"/>
        <v>0</v>
      </c>
      <c r="U84" s="22">
        <f t="shared" si="4"/>
        <v>0</v>
      </c>
      <c r="V84" s="28"/>
      <c r="W84" s="28"/>
      <c r="X84" s="28"/>
      <c r="Y84" s="29"/>
      <c r="Z84" s="28"/>
    </row>
    <row r="85" ht="18.75" customHeight="1">
      <c r="A85" s="32">
        <v>46353.0</v>
      </c>
      <c r="B85" s="33" t="s">
        <v>241</v>
      </c>
      <c r="C85" s="33" t="s">
        <v>93</v>
      </c>
      <c r="D85" s="34">
        <v>12.0</v>
      </c>
      <c r="E85" s="33" t="s">
        <v>140</v>
      </c>
      <c r="F85" s="34">
        <v>2.0</v>
      </c>
      <c r="G85" s="18"/>
      <c r="H85" s="18"/>
      <c r="I85" s="18"/>
      <c r="J85" s="18"/>
      <c r="K85" s="18"/>
      <c r="L85" s="22">
        <f t="shared" si="1"/>
        <v>0</v>
      </c>
      <c r="M85" s="23"/>
      <c r="N85" s="23"/>
      <c r="O85" s="23"/>
      <c r="P85" s="23"/>
      <c r="Q85" s="23"/>
      <c r="R85" s="23"/>
      <c r="S85" s="22">
        <f t="shared" si="2"/>
        <v>0</v>
      </c>
      <c r="T85" s="22">
        <f t="shared" si="3"/>
        <v>0</v>
      </c>
      <c r="U85" s="22">
        <f t="shared" si="4"/>
        <v>0</v>
      </c>
      <c r="V85" s="28"/>
      <c r="W85" s="28"/>
      <c r="X85" s="28"/>
      <c r="Y85" s="29"/>
      <c r="Z85" s="28"/>
    </row>
    <row r="86" ht="18.75" customHeight="1">
      <c r="A86" s="13">
        <v>46354.0</v>
      </c>
      <c r="B86" s="16" t="s">
        <v>242</v>
      </c>
      <c r="C86" s="16" t="s">
        <v>98</v>
      </c>
      <c r="D86" s="12">
        <v>12.0</v>
      </c>
      <c r="E86" s="16" t="s">
        <v>140</v>
      </c>
      <c r="F86" s="12">
        <v>2.0</v>
      </c>
      <c r="G86" s="18"/>
      <c r="H86" s="18"/>
      <c r="I86" s="18"/>
      <c r="J86" s="18"/>
      <c r="K86" s="18"/>
      <c r="L86" s="22">
        <f t="shared" si="1"/>
        <v>0</v>
      </c>
      <c r="M86" s="23"/>
      <c r="N86" s="23"/>
      <c r="O86" s="23"/>
      <c r="P86" s="23"/>
      <c r="Q86" s="23"/>
      <c r="R86" s="23"/>
      <c r="S86" s="22">
        <f t="shared" si="2"/>
        <v>0</v>
      </c>
      <c r="T86" s="22">
        <f t="shared" si="3"/>
        <v>0</v>
      </c>
      <c r="U86" s="22">
        <f t="shared" si="4"/>
        <v>0</v>
      </c>
      <c r="V86" s="28"/>
      <c r="W86" s="28"/>
      <c r="X86" s="28"/>
      <c r="Y86" s="29"/>
      <c r="Z86" s="28"/>
    </row>
    <row r="87" ht="18.75" customHeight="1">
      <c r="A87" s="13">
        <v>46355.0</v>
      </c>
      <c r="B87" s="16" t="s">
        <v>243</v>
      </c>
      <c r="C87" s="16" t="s">
        <v>58</v>
      </c>
      <c r="D87" s="12">
        <v>13.0</v>
      </c>
      <c r="E87" s="16" t="s">
        <v>140</v>
      </c>
      <c r="F87" s="12">
        <v>2.0</v>
      </c>
      <c r="G87" s="18"/>
      <c r="H87" s="18"/>
      <c r="I87" s="18"/>
      <c r="J87" s="18"/>
      <c r="K87" s="18"/>
      <c r="L87" s="22">
        <f t="shared" si="1"/>
        <v>0</v>
      </c>
      <c r="M87" s="23"/>
      <c r="N87" s="23"/>
      <c r="O87" s="23"/>
      <c r="P87" s="23"/>
      <c r="Q87" s="23"/>
      <c r="R87" s="23"/>
      <c r="S87" s="22">
        <f t="shared" si="2"/>
        <v>0</v>
      </c>
      <c r="T87" s="22">
        <f t="shared" si="3"/>
        <v>0</v>
      </c>
      <c r="U87" s="22">
        <f t="shared" si="4"/>
        <v>0</v>
      </c>
      <c r="V87" s="28"/>
      <c r="W87" s="28"/>
      <c r="X87" s="28"/>
      <c r="Y87" s="29"/>
      <c r="Z87" s="28"/>
    </row>
    <row r="88" ht="18.75" customHeight="1">
      <c r="A88" s="13">
        <v>46356.0</v>
      </c>
      <c r="B88" s="16" t="s">
        <v>245</v>
      </c>
      <c r="C88" s="16" t="s">
        <v>66</v>
      </c>
      <c r="D88" s="12">
        <v>13.0</v>
      </c>
      <c r="E88" s="16" t="s">
        <v>140</v>
      </c>
      <c r="F88" s="12">
        <v>2.0</v>
      </c>
      <c r="G88" s="18"/>
      <c r="H88" s="18"/>
      <c r="I88" s="18"/>
      <c r="J88" s="18"/>
      <c r="K88" s="18"/>
      <c r="L88" s="22">
        <f t="shared" si="1"/>
        <v>0</v>
      </c>
      <c r="M88" s="23"/>
      <c r="N88" s="23"/>
      <c r="O88" s="23"/>
      <c r="P88" s="23"/>
      <c r="Q88" s="23"/>
      <c r="R88" s="23"/>
      <c r="S88" s="22">
        <f t="shared" si="2"/>
        <v>0</v>
      </c>
      <c r="T88" s="22">
        <f t="shared" si="3"/>
        <v>0</v>
      </c>
      <c r="U88" s="22">
        <f t="shared" si="4"/>
        <v>0</v>
      </c>
      <c r="V88" s="28"/>
      <c r="W88" s="28"/>
      <c r="X88" s="28"/>
      <c r="Y88" s="29"/>
      <c r="Z88" s="28"/>
    </row>
    <row r="89" ht="18.75" customHeight="1">
      <c r="A89" s="13">
        <v>46357.0</v>
      </c>
      <c r="B89" s="16" t="s">
        <v>246</v>
      </c>
      <c r="C89" s="16" t="s">
        <v>72</v>
      </c>
      <c r="D89" s="12">
        <v>13.0</v>
      </c>
      <c r="E89" s="16" t="s">
        <v>140</v>
      </c>
      <c r="F89" s="12">
        <v>2.0</v>
      </c>
      <c r="G89" s="18"/>
      <c r="H89" s="18"/>
      <c r="I89" s="18"/>
      <c r="J89" s="18"/>
      <c r="K89" s="18"/>
      <c r="L89" s="22">
        <f t="shared" si="1"/>
        <v>0</v>
      </c>
      <c r="M89" s="23"/>
      <c r="N89" s="23"/>
      <c r="O89" s="23"/>
      <c r="P89" s="23"/>
      <c r="Q89" s="23"/>
      <c r="R89" s="23"/>
      <c r="S89" s="22">
        <f t="shared" si="2"/>
        <v>0</v>
      </c>
      <c r="T89" s="22">
        <f t="shared" si="3"/>
        <v>0</v>
      </c>
      <c r="U89" s="22">
        <f t="shared" si="4"/>
        <v>0</v>
      </c>
      <c r="V89" s="28"/>
      <c r="W89" s="28"/>
      <c r="X89" s="28"/>
      <c r="Y89" s="29"/>
      <c r="Z89" s="28"/>
    </row>
    <row r="90" ht="18.75" customHeight="1">
      <c r="A90" s="13">
        <v>46358.0</v>
      </c>
      <c r="B90" s="16" t="s">
        <v>247</v>
      </c>
      <c r="C90" s="16" t="s">
        <v>78</v>
      </c>
      <c r="D90" s="12">
        <v>13.0</v>
      </c>
      <c r="E90" s="16" t="s">
        <v>140</v>
      </c>
      <c r="F90" s="12">
        <v>2.0</v>
      </c>
      <c r="G90" s="18"/>
      <c r="H90" s="18"/>
      <c r="I90" s="18"/>
      <c r="J90" s="18"/>
      <c r="K90" s="18"/>
      <c r="L90" s="22">
        <f t="shared" si="1"/>
        <v>0</v>
      </c>
      <c r="M90" s="23"/>
      <c r="N90" s="23"/>
      <c r="O90" s="23"/>
      <c r="P90" s="23"/>
      <c r="Q90" s="23"/>
      <c r="R90" s="23"/>
      <c r="S90" s="22">
        <f t="shared" si="2"/>
        <v>0</v>
      </c>
      <c r="T90" s="22">
        <f t="shared" si="3"/>
        <v>0</v>
      </c>
      <c r="U90" s="22">
        <f t="shared" si="4"/>
        <v>0</v>
      </c>
      <c r="V90" s="28"/>
      <c r="W90" s="28"/>
      <c r="X90" s="28"/>
      <c r="Y90" s="29"/>
      <c r="Z90" s="28"/>
    </row>
    <row r="91" ht="18.75" customHeight="1">
      <c r="A91" s="13">
        <v>46359.0</v>
      </c>
      <c r="B91" s="16" t="s">
        <v>249</v>
      </c>
      <c r="C91" s="16" t="s">
        <v>86</v>
      </c>
      <c r="D91" s="12">
        <v>13.0</v>
      </c>
      <c r="E91" s="16" t="s">
        <v>140</v>
      </c>
      <c r="F91" s="12">
        <v>2.0</v>
      </c>
      <c r="G91" s="18"/>
      <c r="H91" s="18"/>
      <c r="I91" s="18"/>
      <c r="J91" s="18"/>
      <c r="K91" s="18"/>
      <c r="L91" s="22">
        <f t="shared" si="1"/>
        <v>0</v>
      </c>
      <c r="M91" s="23"/>
      <c r="N91" s="23"/>
      <c r="O91" s="23"/>
      <c r="P91" s="23"/>
      <c r="Q91" s="23"/>
      <c r="R91" s="23"/>
      <c r="S91" s="22">
        <f t="shared" si="2"/>
        <v>0</v>
      </c>
      <c r="T91" s="22">
        <f t="shared" si="3"/>
        <v>0</v>
      </c>
      <c r="U91" s="22">
        <f t="shared" si="4"/>
        <v>0</v>
      </c>
      <c r="V91" s="28"/>
      <c r="W91" s="28"/>
      <c r="X91" s="28"/>
      <c r="Y91" s="29"/>
      <c r="Z91" s="28"/>
    </row>
    <row r="92" ht="18.75" customHeight="1">
      <c r="A92" s="32">
        <v>46360.0</v>
      </c>
      <c r="B92" s="33" t="s">
        <v>250</v>
      </c>
      <c r="C92" s="33" t="s">
        <v>93</v>
      </c>
      <c r="D92" s="34">
        <v>13.0</v>
      </c>
      <c r="E92" s="33" t="s">
        <v>140</v>
      </c>
      <c r="F92" s="34">
        <v>2.0</v>
      </c>
      <c r="G92" s="18"/>
      <c r="H92" s="18"/>
      <c r="I92" s="18"/>
      <c r="J92" s="18"/>
      <c r="K92" s="18"/>
      <c r="L92" s="22">
        <f t="shared" si="1"/>
        <v>0</v>
      </c>
      <c r="M92" s="23"/>
      <c r="N92" s="23"/>
      <c r="O92" s="23"/>
      <c r="P92" s="23"/>
      <c r="Q92" s="23"/>
      <c r="R92" s="23"/>
      <c r="S92" s="22">
        <f t="shared" si="2"/>
        <v>0</v>
      </c>
      <c r="T92" s="22">
        <f t="shared" si="3"/>
        <v>0</v>
      </c>
      <c r="U92" s="22">
        <f t="shared" si="4"/>
        <v>0</v>
      </c>
      <c r="V92" s="28"/>
      <c r="W92" s="28"/>
      <c r="X92" s="28"/>
      <c r="Y92" s="29"/>
      <c r="Z92" s="28"/>
    </row>
    <row r="93" ht="18.75" customHeight="1">
      <c r="A93" s="13">
        <v>46361.0</v>
      </c>
      <c r="B93" s="16" t="s">
        <v>251</v>
      </c>
      <c r="C93" s="16" t="s">
        <v>98</v>
      </c>
      <c r="D93" s="12">
        <v>13.0</v>
      </c>
      <c r="E93" s="16" t="s">
        <v>140</v>
      </c>
      <c r="F93" s="12">
        <v>2.0</v>
      </c>
      <c r="G93" s="18"/>
      <c r="H93" s="18"/>
      <c r="I93" s="18"/>
      <c r="J93" s="18"/>
      <c r="K93" s="18"/>
      <c r="L93" s="22">
        <f t="shared" si="1"/>
        <v>0</v>
      </c>
      <c r="M93" s="23"/>
      <c r="N93" s="23"/>
      <c r="O93" s="23"/>
      <c r="P93" s="23"/>
      <c r="Q93" s="23"/>
      <c r="R93" s="23"/>
      <c r="S93" s="22">
        <f t="shared" si="2"/>
        <v>0</v>
      </c>
      <c r="T93" s="22">
        <f t="shared" si="3"/>
        <v>0</v>
      </c>
      <c r="U93" s="22">
        <f t="shared" si="4"/>
        <v>0</v>
      </c>
      <c r="V93" s="28"/>
      <c r="W93" s="28"/>
      <c r="X93" s="28"/>
      <c r="Y93" s="29"/>
      <c r="Z93" s="28"/>
    </row>
    <row r="94" ht="18.75" customHeight="1">
      <c r="A94" s="13">
        <v>46362.0</v>
      </c>
      <c r="B94" s="16" t="s">
        <v>252</v>
      </c>
      <c r="C94" s="16" t="s">
        <v>58</v>
      </c>
      <c r="D94" s="12">
        <v>14.0</v>
      </c>
      <c r="E94" s="16" t="s">
        <v>140</v>
      </c>
      <c r="F94" s="12">
        <v>3.0</v>
      </c>
      <c r="G94" s="18"/>
      <c r="H94" s="18"/>
      <c r="I94" s="18"/>
      <c r="J94" s="18"/>
      <c r="K94" s="18"/>
      <c r="L94" s="22">
        <f t="shared" si="1"/>
        <v>0</v>
      </c>
      <c r="M94" s="23"/>
      <c r="N94" s="23"/>
      <c r="O94" s="23"/>
      <c r="P94" s="23"/>
      <c r="Q94" s="23"/>
      <c r="R94" s="23"/>
      <c r="S94" s="22">
        <f t="shared" si="2"/>
        <v>0</v>
      </c>
      <c r="T94" s="22">
        <f t="shared" si="3"/>
        <v>0</v>
      </c>
      <c r="U94" s="22">
        <f t="shared" si="4"/>
        <v>0</v>
      </c>
      <c r="V94" s="28"/>
      <c r="W94" s="28"/>
      <c r="X94" s="28"/>
      <c r="Y94" s="29"/>
      <c r="Z94" s="28"/>
    </row>
    <row r="95" ht="18.75" customHeight="1">
      <c r="A95" s="13">
        <v>46363.0</v>
      </c>
      <c r="B95" s="16" t="s">
        <v>254</v>
      </c>
      <c r="C95" s="16" t="s">
        <v>66</v>
      </c>
      <c r="D95" s="12">
        <v>14.0</v>
      </c>
      <c r="E95" s="16" t="s">
        <v>140</v>
      </c>
      <c r="F95" s="12">
        <v>3.0</v>
      </c>
      <c r="G95" s="18"/>
      <c r="H95" s="18"/>
      <c r="I95" s="18"/>
      <c r="J95" s="18"/>
      <c r="K95" s="18"/>
      <c r="L95" s="22">
        <f t="shared" si="1"/>
        <v>0</v>
      </c>
      <c r="M95" s="23"/>
      <c r="N95" s="23"/>
      <c r="O95" s="23"/>
      <c r="P95" s="23"/>
      <c r="Q95" s="23"/>
      <c r="R95" s="23"/>
      <c r="S95" s="22">
        <f t="shared" si="2"/>
        <v>0</v>
      </c>
      <c r="T95" s="22">
        <f t="shared" si="3"/>
        <v>0</v>
      </c>
      <c r="U95" s="22">
        <f t="shared" si="4"/>
        <v>0</v>
      </c>
      <c r="V95" s="28"/>
      <c r="W95" s="28"/>
      <c r="X95" s="28"/>
      <c r="Y95" s="29"/>
      <c r="Z95" s="28"/>
    </row>
    <row r="96" ht="18.75" customHeight="1">
      <c r="A96" s="13">
        <v>46364.0</v>
      </c>
      <c r="B96" s="16" t="s">
        <v>255</v>
      </c>
      <c r="C96" s="16" t="s">
        <v>72</v>
      </c>
      <c r="D96" s="12">
        <v>14.0</v>
      </c>
      <c r="E96" s="16" t="s">
        <v>140</v>
      </c>
      <c r="F96" s="12">
        <v>3.0</v>
      </c>
      <c r="G96" s="18"/>
      <c r="H96" s="18"/>
      <c r="I96" s="18"/>
      <c r="J96" s="18"/>
      <c r="K96" s="18"/>
      <c r="L96" s="22">
        <f t="shared" si="1"/>
        <v>0</v>
      </c>
      <c r="M96" s="23"/>
      <c r="N96" s="23"/>
      <c r="O96" s="23"/>
      <c r="P96" s="23"/>
      <c r="Q96" s="23"/>
      <c r="R96" s="23"/>
      <c r="S96" s="22">
        <f t="shared" si="2"/>
        <v>0</v>
      </c>
      <c r="T96" s="22">
        <f t="shared" si="3"/>
        <v>0</v>
      </c>
      <c r="U96" s="22">
        <f t="shared" si="4"/>
        <v>0</v>
      </c>
      <c r="V96" s="28"/>
      <c r="W96" s="28"/>
      <c r="X96" s="28"/>
      <c r="Y96" s="29"/>
      <c r="Z96" s="28"/>
    </row>
    <row r="97" ht="18.75" customHeight="1">
      <c r="A97" s="13">
        <v>46365.0</v>
      </c>
      <c r="B97" s="16" t="s">
        <v>256</v>
      </c>
      <c r="C97" s="16" t="s">
        <v>78</v>
      </c>
      <c r="D97" s="12">
        <v>14.0</v>
      </c>
      <c r="E97" s="16" t="s">
        <v>140</v>
      </c>
      <c r="F97" s="12">
        <v>3.0</v>
      </c>
      <c r="G97" s="18"/>
      <c r="H97" s="18"/>
      <c r="I97" s="18"/>
      <c r="J97" s="18"/>
      <c r="K97" s="18"/>
      <c r="L97" s="22">
        <f t="shared" si="1"/>
        <v>0</v>
      </c>
      <c r="M97" s="23"/>
      <c r="N97" s="23"/>
      <c r="O97" s="23"/>
      <c r="P97" s="23"/>
      <c r="Q97" s="23"/>
      <c r="R97" s="23"/>
      <c r="S97" s="22">
        <f t="shared" si="2"/>
        <v>0</v>
      </c>
      <c r="T97" s="22">
        <f t="shared" si="3"/>
        <v>0</v>
      </c>
      <c r="U97" s="22">
        <f t="shared" si="4"/>
        <v>0</v>
      </c>
      <c r="V97" s="28"/>
      <c r="W97" s="28"/>
      <c r="X97" s="28"/>
      <c r="Y97" s="29"/>
      <c r="Z97" s="28"/>
    </row>
    <row r="98" ht="18.75" customHeight="1">
      <c r="A98" s="13">
        <v>46366.0</v>
      </c>
      <c r="B98" s="16" t="s">
        <v>257</v>
      </c>
      <c r="C98" s="16" t="s">
        <v>86</v>
      </c>
      <c r="D98" s="12">
        <v>14.0</v>
      </c>
      <c r="E98" s="16" t="s">
        <v>140</v>
      </c>
      <c r="F98" s="12">
        <v>3.0</v>
      </c>
      <c r="G98" s="18"/>
      <c r="H98" s="18"/>
      <c r="I98" s="18"/>
      <c r="J98" s="18"/>
      <c r="K98" s="18"/>
      <c r="L98" s="22">
        <f t="shared" si="1"/>
        <v>0</v>
      </c>
      <c r="M98" s="23"/>
      <c r="N98" s="23"/>
      <c r="O98" s="23"/>
      <c r="P98" s="23"/>
      <c r="Q98" s="23"/>
      <c r="R98" s="23"/>
      <c r="S98" s="22">
        <f t="shared" si="2"/>
        <v>0</v>
      </c>
      <c r="T98" s="22">
        <f t="shared" si="3"/>
        <v>0</v>
      </c>
      <c r="U98" s="22">
        <f t="shared" si="4"/>
        <v>0</v>
      </c>
      <c r="V98" s="28"/>
      <c r="W98" s="28"/>
      <c r="X98" s="28"/>
      <c r="Y98" s="29"/>
      <c r="Z98" s="28"/>
    </row>
    <row r="99" ht="18.75" customHeight="1">
      <c r="A99" s="32">
        <v>46367.0</v>
      </c>
      <c r="B99" s="33" t="s">
        <v>259</v>
      </c>
      <c r="C99" s="33" t="s">
        <v>93</v>
      </c>
      <c r="D99" s="34">
        <v>14.0</v>
      </c>
      <c r="E99" s="33" t="s">
        <v>140</v>
      </c>
      <c r="F99" s="34">
        <v>3.0</v>
      </c>
      <c r="G99" s="18"/>
      <c r="H99" s="18"/>
      <c r="I99" s="18"/>
      <c r="J99" s="18"/>
      <c r="K99" s="18"/>
      <c r="L99" s="22">
        <f t="shared" si="1"/>
        <v>0</v>
      </c>
      <c r="M99" s="23"/>
      <c r="N99" s="23"/>
      <c r="O99" s="23"/>
      <c r="P99" s="23"/>
      <c r="Q99" s="23"/>
      <c r="R99" s="23"/>
      <c r="S99" s="22">
        <f t="shared" si="2"/>
        <v>0</v>
      </c>
      <c r="T99" s="22">
        <f t="shared" si="3"/>
        <v>0</v>
      </c>
      <c r="U99" s="22">
        <f t="shared" si="4"/>
        <v>0</v>
      </c>
      <c r="V99" s="28"/>
      <c r="W99" s="28"/>
      <c r="X99" s="28"/>
      <c r="Y99" s="29"/>
      <c r="Z99" s="28"/>
    </row>
    <row r="100" ht="18.75" customHeight="1">
      <c r="A100" s="13">
        <v>46368.0</v>
      </c>
      <c r="B100" s="16" t="s">
        <v>260</v>
      </c>
      <c r="C100" s="16" t="s">
        <v>98</v>
      </c>
      <c r="D100" s="12">
        <v>14.0</v>
      </c>
      <c r="E100" s="16" t="s">
        <v>140</v>
      </c>
      <c r="F100" s="12">
        <v>3.0</v>
      </c>
      <c r="G100" s="18"/>
      <c r="H100" s="18"/>
      <c r="I100" s="18"/>
      <c r="J100" s="18"/>
      <c r="K100" s="18"/>
      <c r="L100" s="22">
        <f t="shared" si="1"/>
        <v>0</v>
      </c>
      <c r="M100" s="23"/>
      <c r="N100" s="23"/>
      <c r="O100" s="23"/>
      <c r="P100" s="23"/>
      <c r="Q100" s="23"/>
      <c r="R100" s="23"/>
      <c r="S100" s="22">
        <f t="shared" si="2"/>
        <v>0</v>
      </c>
      <c r="T100" s="22">
        <f t="shared" si="3"/>
        <v>0</v>
      </c>
      <c r="U100" s="22">
        <f t="shared" si="4"/>
        <v>0</v>
      </c>
      <c r="V100" s="28"/>
      <c r="W100" s="28"/>
      <c r="X100" s="28"/>
      <c r="Y100" s="29"/>
      <c r="Z100" s="28"/>
    </row>
    <row r="101" ht="18.75" customHeight="1">
      <c r="A101" s="13">
        <v>46369.0</v>
      </c>
      <c r="B101" s="16" t="s">
        <v>261</v>
      </c>
      <c r="C101" s="16" t="s">
        <v>58</v>
      </c>
      <c r="D101" s="12">
        <v>15.0</v>
      </c>
      <c r="E101" s="16" t="s">
        <v>140</v>
      </c>
      <c r="F101" s="12">
        <v>3.0</v>
      </c>
      <c r="G101" s="18"/>
      <c r="H101" s="18"/>
      <c r="I101" s="18"/>
      <c r="J101" s="18"/>
      <c r="K101" s="18"/>
      <c r="L101" s="22">
        <f t="shared" si="1"/>
        <v>0</v>
      </c>
      <c r="M101" s="23"/>
      <c r="N101" s="23"/>
      <c r="O101" s="23"/>
      <c r="P101" s="23"/>
      <c r="Q101" s="23"/>
      <c r="R101" s="23"/>
      <c r="S101" s="22">
        <f t="shared" si="2"/>
        <v>0</v>
      </c>
      <c r="T101" s="22">
        <f t="shared" si="3"/>
        <v>0</v>
      </c>
      <c r="U101" s="22">
        <f t="shared" si="4"/>
        <v>0</v>
      </c>
      <c r="V101" s="28"/>
      <c r="W101" s="28"/>
      <c r="X101" s="28"/>
      <c r="Y101" s="29"/>
      <c r="Z101" s="28"/>
    </row>
    <row r="102" ht="18.75" customHeight="1">
      <c r="A102" s="13">
        <v>46370.0</v>
      </c>
      <c r="B102" s="16" t="s">
        <v>262</v>
      </c>
      <c r="C102" s="16" t="s">
        <v>66</v>
      </c>
      <c r="D102" s="12">
        <v>15.0</v>
      </c>
      <c r="E102" s="16" t="s">
        <v>140</v>
      </c>
      <c r="F102" s="12">
        <v>3.0</v>
      </c>
      <c r="G102" s="18"/>
      <c r="H102" s="18"/>
      <c r="I102" s="18"/>
      <c r="J102" s="18"/>
      <c r="K102" s="18"/>
      <c r="L102" s="22">
        <f t="shared" si="1"/>
        <v>0</v>
      </c>
      <c r="M102" s="23"/>
      <c r="N102" s="23"/>
      <c r="O102" s="23"/>
      <c r="P102" s="23"/>
      <c r="Q102" s="23"/>
      <c r="R102" s="23"/>
      <c r="S102" s="22">
        <f t="shared" si="2"/>
        <v>0</v>
      </c>
      <c r="T102" s="22">
        <f t="shared" si="3"/>
        <v>0</v>
      </c>
      <c r="U102" s="22">
        <f t="shared" si="4"/>
        <v>0</v>
      </c>
      <c r="V102" s="28"/>
      <c r="W102" s="28"/>
      <c r="X102" s="28"/>
      <c r="Y102" s="29"/>
      <c r="Z102" s="28"/>
    </row>
    <row r="103" ht="18.75" customHeight="1">
      <c r="A103" s="13">
        <v>46371.0</v>
      </c>
      <c r="B103" s="16" t="s">
        <v>263</v>
      </c>
      <c r="C103" s="16" t="s">
        <v>72</v>
      </c>
      <c r="D103" s="12">
        <v>15.0</v>
      </c>
      <c r="E103" s="16" t="s">
        <v>140</v>
      </c>
      <c r="F103" s="12">
        <v>3.0</v>
      </c>
      <c r="G103" s="18"/>
      <c r="H103" s="18"/>
      <c r="I103" s="18"/>
      <c r="J103" s="18"/>
      <c r="K103" s="18"/>
      <c r="L103" s="22">
        <f t="shared" si="1"/>
        <v>0</v>
      </c>
      <c r="M103" s="23"/>
      <c r="N103" s="23"/>
      <c r="O103" s="23"/>
      <c r="P103" s="23"/>
      <c r="Q103" s="23"/>
      <c r="R103" s="23"/>
      <c r="S103" s="22">
        <f t="shared" si="2"/>
        <v>0</v>
      </c>
      <c r="T103" s="22">
        <f t="shared" si="3"/>
        <v>0</v>
      </c>
      <c r="U103" s="22">
        <f t="shared" si="4"/>
        <v>0</v>
      </c>
      <c r="V103" s="28"/>
      <c r="W103" s="28"/>
      <c r="X103" s="28"/>
      <c r="Y103" s="29"/>
      <c r="Z103" s="28"/>
    </row>
    <row r="104" ht="18.75" customHeight="1">
      <c r="A104" s="13">
        <v>46372.0</v>
      </c>
      <c r="B104" s="16" t="s">
        <v>265</v>
      </c>
      <c r="C104" s="16" t="s">
        <v>78</v>
      </c>
      <c r="D104" s="12">
        <v>15.0</v>
      </c>
      <c r="E104" s="16" t="s">
        <v>140</v>
      </c>
      <c r="F104" s="12">
        <v>3.0</v>
      </c>
      <c r="G104" s="18"/>
      <c r="H104" s="18"/>
      <c r="I104" s="18"/>
      <c r="J104" s="18"/>
      <c r="K104" s="18"/>
      <c r="L104" s="22">
        <f t="shared" si="1"/>
        <v>0</v>
      </c>
      <c r="M104" s="23"/>
      <c r="N104" s="23"/>
      <c r="O104" s="23"/>
      <c r="P104" s="23"/>
      <c r="Q104" s="23"/>
      <c r="R104" s="23"/>
      <c r="S104" s="22">
        <f t="shared" si="2"/>
        <v>0</v>
      </c>
      <c r="T104" s="22">
        <f t="shared" si="3"/>
        <v>0</v>
      </c>
      <c r="U104" s="22">
        <f t="shared" si="4"/>
        <v>0</v>
      </c>
      <c r="V104" s="28"/>
      <c r="W104" s="28"/>
      <c r="X104" s="28"/>
      <c r="Y104" s="29"/>
      <c r="Z104" s="28"/>
    </row>
    <row r="105" ht="18.75" customHeight="1">
      <c r="A105" s="13">
        <v>46373.0</v>
      </c>
      <c r="B105" s="16" t="s">
        <v>266</v>
      </c>
      <c r="C105" s="16" t="s">
        <v>86</v>
      </c>
      <c r="D105" s="12">
        <v>15.0</v>
      </c>
      <c r="E105" s="16" t="s">
        <v>140</v>
      </c>
      <c r="F105" s="12">
        <v>3.0</v>
      </c>
      <c r="G105" s="18"/>
      <c r="H105" s="18"/>
      <c r="I105" s="18"/>
      <c r="J105" s="18"/>
      <c r="K105" s="18"/>
      <c r="L105" s="22">
        <f t="shared" si="1"/>
        <v>0</v>
      </c>
      <c r="M105" s="23"/>
      <c r="N105" s="23"/>
      <c r="O105" s="23"/>
      <c r="P105" s="23"/>
      <c r="Q105" s="23"/>
      <c r="R105" s="23"/>
      <c r="S105" s="22">
        <f t="shared" si="2"/>
        <v>0</v>
      </c>
      <c r="T105" s="22">
        <f t="shared" si="3"/>
        <v>0</v>
      </c>
      <c r="U105" s="22">
        <f t="shared" si="4"/>
        <v>0</v>
      </c>
      <c r="V105" s="28"/>
      <c r="W105" s="28"/>
      <c r="X105" s="28"/>
      <c r="Y105" s="29"/>
      <c r="Z105" s="28"/>
    </row>
    <row r="106" ht="18.75" customHeight="1">
      <c r="A106" s="32">
        <v>46374.0</v>
      </c>
      <c r="B106" s="33" t="s">
        <v>267</v>
      </c>
      <c r="C106" s="33" t="s">
        <v>93</v>
      </c>
      <c r="D106" s="34">
        <v>15.0</v>
      </c>
      <c r="E106" s="33" t="s">
        <v>140</v>
      </c>
      <c r="F106" s="34">
        <v>3.0</v>
      </c>
      <c r="G106" s="18"/>
      <c r="H106" s="18"/>
      <c r="I106" s="18"/>
      <c r="J106" s="18"/>
      <c r="K106" s="18"/>
      <c r="L106" s="22">
        <f t="shared" si="1"/>
        <v>0</v>
      </c>
      <c r="M106" s="23"/>
      <c r="N106" s="23"/>
      <c r="O106" s="23"/>
      <c r="P106" s="23"/>
      <c r="Q106" s="23"/>
      <c r="R106" s="23"/>
      <c r="S106" s="22">
        <f t="shared" si="2"/>
        <v>0</v>
      </c>
      <c r="T106" s="22">
        <f t="shared" si="3"/>
        <v>0</v>
      </c>
      <c r="U106" s="22">
        <f t="shared" si="4"/>
        <v>0</v>
      </c>
      <c r="V106" s="28"/>
      <c r="W106" s="28"/>
      <c r="X106" s="28"/>
      <c r="Y106" s="29"/>
      <c r="Z106" s="28"/>
    </row>
    <row r="107" ht="18.75" customHeight="1">
      <c r="A107" s="13">
        <v>46375.0</v>
      </c>
      <c r="B107" s="16" t="s">
        <v>268</v>
      </c>
      <c r="C107" s="16" t="s">
        <v>98</v>
      </c>
      <c r="D107" s="12">
        <v>15.0</v>
      </c>
      <c r="E107" s="16" t="s">
        <v>140</v>
      </c>
      <c r="F107" s="12">
        <v>3.0</v>
      </c>
      <c r="G107" s="18"/>
      <c r="H107" s="18"/>
      <c r="I107" s="18"/>
      <c r="J107" s="18"/>
      <c r="K107" s="18"/>
      <c r="L107" s="22">
        <f t="shared" si="1"/>
        <v>0</v>
      </c>
      <c r="M107" s="23"/>
      <c r="N107" s="23"/>
      <c r="O107" s="23"/>
      <c r="P107" s="23"/>
      <c r="Q107" s="23"/>
      <c r="R107" s="23"/>
      <c r="S107" s="22">
        <f t="shared" si="2"/>
        <v>0</v>
      </c>
      <c r="T107" s="22">
        <f t="shared" si="3"/>
        <v>0</v>
      </c>
      <c r="U107" s="22">
        <f t="shared" si="4"/>
        <v>0</v>
      </c>
      <c r="V107" s="28"/>
      <c r="W107" s="28"/>
      <c r="X107" s="28"/>
      <c r="Y107" s="29"/>
      <c r="Z107" s="28"/>
    </row>
    <row r="108" ht="18.75" customHeight="1">
      <c r="A108" s="13">
        <v>46376.0</v>
      </c>
      <c r="B108" s="16" t="s">
        <v>270</v>
      </c>
      <c r="C108" s="16" t="s">
        <v>58</v>
      </c>
      <c r="D108" s="12">
        <v>16.0</v>
      </c>
      <c r="E108" s="16" t="s">
        <v>140</v>
      </c>
      <c r="F108" s="12">
        <v>3.0</v>
      </c>
      <c r="G108" s="18"/>
      <c r="H108" s="18"/>
      <c r="I108" s="18"/>
      <c r="J108" s="18"/>
      <c r="K108" s="18"/>
      <c r="L108" s="22">
        <f t="shared" si="1"/>
        <v>0</v>
      </c>
      <c r="M108" s="23"/>
      <c r="N108" s="23"/>
      <c r="O108" s="23"/>
      <c r="P108" s="23"/>
      <c r="Q108" s="23"/>
      <c r="R108" s="23"/>
      <c r="S108" s="22">
        <f t="shared" si="2"/>
        <v>0</v>
      </c>
      <c r="T108" s="22">
        <f t="shared" si="3"/>
        <v>0</v>
      </c>
      <c r="U108" s="22">
        <f t="shared" si="4"/>
        <v>0</v>
      </c>
      <c r="V108" s="28"/>
      <c r="W108" s="28"/>
      <c r="X108" s="28"/>
      <c r="Y108" s="29"/>
      <c r="Z108" s="28"/>
    </row>
    <row r="109" ht="18.75" customHeight="1">
      <c r="A109" s="13">
        <v>46377.0</v>
      </c>
      <c r="B109" s="16" t="s">
        <v>271</v>
      </c>
      <c r="C109" s="16" t="s">
        <v>66</v>
      </c>
      <c r="D109" s="12">
        <v>16.0</v>
      </c>
      <c r="E109" s="16" t="s">
        <v>140</v>
      </c>
      <c r="F109" s="12">
        <v>3.0</v>
      </c>
      <c r="G109" s="18"/>
      <c r="H109" s="18"/>
      <c r="I109" s="18"/>
      <c r="J109" s="18"/>
      <c r="K109" s="18"/>
      <c r="L109" s="22">
        <f t="shared" si="1"/>
        <v>0</v>
      </c>
      <c r="M109" s="23"/>
      <c r="N109" s="23"/>
      <c r="O109" s="23"/>
      <c r="P109" s="23"/>
      <c r="Q109" s="23"/>
      <c r="R109" s="23"/>
      <c r="S109" s="22">
        <f t="shared" si="2"/>
        <v>0</v>
      </c>
      <c r="T109" s="22">
        <f t="shared" si="3"/>
        <v>0</v>
      </c>
      <c r="U109" s="22">
        <f t="shared" si="4"/>
        <v>0</v>
      </c>
      <c r="V109" s="28"/>
      <c r="W109" s="28"/>
      <c r="X109" s="28"/>
      <c r="Y109" s="29"/>
      <c r="Z109" s="28"/>
    </row>
    <row r="110" ht="18.75" customHeight="1">
      <c r="A110" s="13">
        <v>46378.0</v>
      </c>
      <c r="B110" s="16" t="s">
        <v>272</v>
      </c>
      <c r="C110" s="16" t="s">
        <v>72</v>
      </c>
      <c r="D110" s="12">
        <v>16.0</v>
      </c>
      <c r="E110" s="16" t="s">
        <v>156</v>
      </c>
      <c r="F110" s="12">
        <v>3.0</v>
      </c>
      <c r="G110" s="18"/>
      <c r="H110" s="18"/>
      <c r="I110" s="18"/>
      <c r="J110" s="18"/>
      <c r="K110" s="18"/>
      <c r="L110" s="22">
        <f t="shared" si="1"/>
        <v>0</v>
      </c>
      <c r="M110" s="23"/>
      <c r="N110" s="23"/>
      <c r="O110" s="23"/>
      <c r="P110" s="23"/>
      <c r="Q110" s="23"/>
      <c r="R110" s="23"/>
      <c r="S110" s="22">
        <f t="shared" si="2"/>
        <v>0</v>
      </c>
      <c r="T110" s="22">
        <f t="shared" si="3"/>
        <v>0</v>
      </c>
      <c r="U110" s="22">
        <f t="shared" si="4"/>
        <v>0</v>
      </c>
      <c r="V110" s="28"/>
      <c r="W110" s="28"/>
      <c r="X110" s="28"/>
      <c r="Y110" s="29"/>
      <c r="Z110" s="28"/>
    </row>
    <row r="111" ht="18.75" customHeight="1">
      <c r="A111" s="13">
        <v>46379.0</v>
      </c>
      <c r="B111" s="16" t="s">
        <v>273</v>
      </c>
      <c r="C111" s="16" t="s">
        <v>78</v>
      </c>
      <c r="D111" s="12">
        <v>16.0</v>
      </c>
      <c r="E111" s="16" t="s">
        <v>156</v>
      </c>
      <c r="F111" s="12">
        <v>3.0</v>
      </c>
      <c r="G111" s="18"/>
      <c r="H111" s="18"/>
      <c r="I111" s="18"/>
      <c r="J111" s="18"/>
      <c r="K111" s="18"/>
      <c r="L111" s="22">
        <f t="shared" si="1"/>
        <v>0</v>
      </c>
      <c r="M111" s="23"/>
      <c r="N111" s="23"/>
      <c r="O111" s="23"/>
      <c r="P111" s="23"/>
      <c r="Q111" s="23"/>
      <c r="R111" s="23"/>
      <c r="S111" s="22">
        <f t="shared" si="2"/>
        <v>0</v>
      </c>
      <c r="T111" s="22">
        <f t="shared" si="3"/>
        <v>0</v>
      </c>
      <c r="U111" s="22">
        <f t="shared" si="4"/>
        <v>0</v>
      </c>
      <c r="V111" s="28"/>
      <c r="W111" s="28"/>
      <c r="X111" s="28"/>
      <c r="Y111" s="29"/>
      <c r="Z111" s="28"/>
    </row>
    <row r="112" ht="18.75" customHeight="1">
      <c r="A112" s="13">
        <v>46380.0</v>
      </c>
      <c r="B112" s="16" t="s">
        <v>274</v>
      </c>
      <c r="C112" s="16" t="s">
        <v>86</v>
      </c>
      <c r="D112" s="12">
        <v>16.0</v>
      </c>
      <c r="E112" s="16" t="s">
        <v>156</v>
      </c>
      <c r="F112" s="12">
        <v>3.0</v>
      </c>
      <c r="G112" s="18"/>
      <c r="H112" s="18"/>
      <c r="I112" s="18"/>
      <c r="J112" s="18"/>
      <c r="K112" s="18"/>
      <c r="L112" s="22">
        <f t="shared" si="1"/>
        <v>0</v>
      </c>
      <c r="M112" s="23"/>
      <c r="N112" s="23"/>
      <c r="O112" s="23"/>
      <c r="P112" s="23"/>
      <c r="Q112" s="23"/>
      <c r="R112" s="23"/>
      <c r="S112" s="22">
        <f t="shared" si="2"/>
        <v>0</v>
      </c>
      <c r="T112" s="22">
        <f t="shared" si="3"/>
        <v>0</v>
      </c>
      <c r="U112" s="22">
        <f t="shared" si="4"/>
        <v>0</v>
      </c>
      <c r="V112" s="28"/>
      <c r="W112" s="28"/>
      <c r="X112" s="28"/>
      <c r="Y112" s="29"/>
      <c r="Z112" s="28"/>
    </row>
    <row r="113" ht="18.75" customHeight="1">
      <c r="A113" s="32">
        <v>46381.0</v>
      </c>
      <c r="B113" s="33" t="s">
        <v>276</v>
      </c>
      <c r="C113" s="33" t="s">
        <v>93</v>
      </c>
      <c r="D113" s="34">
        <v>16.0</v>
      </c>
      <c r="E113" s="33" t="s">
        <v>156</v>
      </c>
      <c r="F113" s="34">
        <v>3.0</v>
      </c>
      <c r="G113" s="18"/>
      <c r="H113" s="18"/>
      <c r="I113" s="18"/>
      <c r="J113" s="18"/>
      <c r="K113" s="18"/>
      <c r="L113" s="22">
        <f t="shared" si="1"/>
        <v>0</v>
      </c>
      <c r="M113" s="23"/>
      <c r="N113" s="23"/>
      <c r="O113" s="23"/>
      <c r="P113" s="23"/>
      <c r="Q113" s="23"/>
      <c r="R113" s="23"/>
      <c r="S113" s="22">
        <f t="shared" si="2"/>
        <v>0</v>
      </c>
      <c r="T113" s="22">
        <f t="shared" si="3"/>
        <v>0</v>
      </c>
      <c r="U113" s="22">
        <f t="shared" si="4"/>
        <v>0</v>
      </c>
      <c r="V113" s="28"/>
      <c r="W113" s="28"/>
      <c r="X113" s="28"/>
      <c r="Y113" s="29"/>
      <c r="Z113" s="28"/>
    </row>
    <row r="114" ht="18.75" customHeight="1">
      <c r="A114" s="13">
        <v>46382.0</v>
      </c>
      <c r="B114" s="16" t="s">
        <v>277</v>
      </c>
      <c r="C114" s="16" t="s">
        <v>98</v>
      </c>
      <c r="D114" s="12">
        <v>16.0</v>
      </c>
      <c r="E114" s="16" t="s">
        <v>156</v>
      </c>
      <c r="F114" s="12">
        <v>3.0</v>
      </c>
      <c r="G114" s="18"/>
      <c r="H114" s="18"/>
      <c r="I114" s="18"/>
      <c r="J114" s="18"/>
      <c r="K114" s="18"/>
      <c r="L114" s="22">
        <f t="shared" si="1"/>
        <v>0</v>
      </c>
      <c r="M114" s="23"/>
      <c r="N114" s="23"/>
      <c r="O114" s="23"/>
      <c r="P114" s="23"/>
      <c r="Q114" s="23"/>
      <c r="R114" s="23"/>
      <c r="S114" s="22">
        <f t="shared" si="2"/>
        <v>0</v>
      </c>
      <c r="T114" s="22">
        <f t="shared" si="3"/>
        <v>0</v>
      </c>
      <c r="U114" s="22">
        <f t="shared" si="4"/>
        <v>0</v>
      </c>
      <c r="V114" s="28"/>
      <c r="W114" s="28"/>
      <c r="X114" s="28"/>
      <c r="Y114" s="29"/>
      <c r="Z114" s="28"/>
    </row>
    <row r="115" ht="18.75" customHeight="1">
      <c r="A115" s="13">
        <v>46383.0</v>
      </c>
      <c r="B115" s="16" t="s">
        <v>278</v>
      </c>
      <c r="C115" s="16" t="s">
        <v>58</v>
      </c>
      <c r="D115" s="12">
        <v>17.0</v>
      </c>
      <c r="E115" s="16" t="s">
        <v>156</v>
      </c>
      <c r="F115" s="12">
        <v>3.0</v>
      </c>
      <c r="G115" s="18"/>
      <c r="H115" s="18"/>
      <c r="I115" s="18"/>
      <c r="J115" s="18"/>
      <c r="K115" s="18"/>
      <c r="L115" s="22">
        <f t="shared" si="1"/>
        <v>0</v>
      </c>
      <c r="M115" s="23"/>
      <c r="N115" s="23"/>
      <c r="O115" s="23"/>
      <c r="P115" s="23"/>
      <c r="Q115" s="23"/>
      <c r="R115" s="23"/>
      <c r="S115" s="22">
        <f t="shared" si="2"/>
        <v>0</v>
      </c>
      <c r="T115" s="22">
        <f t="shared" si="3"/>
        <v>0</v>
      </c>
      <c r="U115" s="22">
        <f t="shared" si="4"/>
        <v>0</v>
      </c>
      <c r="V115" s="28"/>
      <c r="W115" s="28"/>
      <c r="X115" s="28"/>
      <c r="Y115" s="29"/>
      <c r="Z115" s="28"/>
    </row>
    <row r="116" ht="18.75" customHeight="1">
      <c r="A116" s="13">
        <v>46384.0</v>
      </c>
      <c r="B116" s="16" t="s">
        <v>279</v>
      </c>
      <c r="C116" s="16" t="s">
        <v>66</v>
      </c>
      <c r="D116" s="12">
        <v>17.0</v>
      </c>
      <c r="E116" s="16" t="s">
        <v>156</v>
      </c>
      <c r="F116" s="12">
        <v>3.0</v>
      </c>
      <c r="G116" s="18"/>
      <c r="H116" s="18"/>
      <c r="I116" s="18"/>
      <c r="J116" s="18"/>
      <c r="K116" s="18"/>
      <c r="L116" s="22">
        <f t="shared" si="1"/>
        <v>0</v>
      </c>
      <c r="M116" s="23"/>
      <c r="N116" s="23"/>
      <c r="O116" s="23"/>
      <c r="P116" s="23"/>
      <c r="Q116" s="23"/>
      <c r="R116" s="23"/>
      <c r="S116" s="22">
        <f t="shared" si="2"/>
        <v>0</v>
      </c>
      <c r="T116" s="22">
        <f t="shared" si="3"/>
        <v>0</v>
      </c>
      <c r="U116" s="22">
        <f t="shared" si="4"/>
        <v>0</v>
      </c>
      <c r="V116" s="28"/>
      <c r="W116" s="28"/>
      <c r="X116" s="28"/>
      <c r="Y116" s="29"/>
      <c r="Z116" s="28"/>
    </row>
    <row r="117" ht="18.75" customHeight="1">
      <c r="A117" s="13">
        <v>46385.0</v>
      </c>
      <c r="B117" s="16" t="s">
        <v>281</v>
      </c>
      <c r="C117" s="16" t="s">
        <v>72</v>
      </c>
      <c r="D117" s="12">
        <v>17.0</v>
      </c>
      <c r="E117" s="16" t="s">
        <v>156</v>
      </c>
      <c r="F117" s="12">
        <v>3.0</v>
      </c>
      <c r="G117" s="18"/>
      <c r="H117" s="18"/>
      <c r="I117" s="18"/>
      <c r="J117" s="18"/>
      <c r="K117" s="18"/>
      <c r="L117" s="22">
        <f t="shared" si="1"/>
        <v>0</v>
      </c>
      <c r="M117" s="23"/>
      <c r="N117" s="23"/>
      <c r="O117" s="23"/>
      <c r="P117" s="23"/>
      <c r="Q117" s="23"/>
      <c r="R117" s="23"/>
      <c r="S117" s="22">
        <f t="shared" si="2"/>
        <v>0</v>
      </c>
      <c r="T117" s="22">
        <f t="shared" si="3"/>
        <v>0</v>
      </c>
      <c r="U117" s="22">
        <f t="shared" si="4"/>
        <v>0</v>
      </c>
      <c r="V117" s="28"/>
      <c r="W117" s="28"/>
      <c r="X117" s="28"/>
      <c r="Y117" s="29"/>
      <c r="Z117" s="28"/>
    </row>
    <row r="118" ht="18.75" customHeight="1">
      <c r="A118" s="13">
        <v>46386.0</v>
      </c>
      <c r="B118" s="16" t="s">
        <v>282</v>
      </c>
      <c r="C118" s="16" t="s">
        <v>78</v>
      </c>
      <c r="D118" s="12">
        <v>17.0</v>
      </c>
      <c r="E118" s="16" t="s">
        <v>156</v>
      </c>
      <c r="F118" s="12">
        <v>3.0</v>
      </c>
      <c r="G118" s="18"/>
      <c r="H118" s="18"/>
      <c r="I118" s="18"/>
      <c r="J118" s="18"/>
      <c r="K118" s="18"/>
      <c r="L118" s="22">
        <f t="shared" si="1"/>
        <v>0</v>
      </c>
      <c r="M118" s="23"/>
      <c r="N118" s="23"/>
      <c r="O118" s="23"/>
      <c r="P118" s="23"/>
      <c r="Q118" s="23"/>
      <c r="R118" s="23"/>
      <c r="S118" s="22">
        <f t="shared" si="2"/>
        <v>0</v>
      </c>
      <c r="T118" s="22">
        <f t="shared" si="3"/>
        <v>0</v>
      </c>
      <c r="U118" s="22">
        <f t="shared" si="4"/>
        <v>0</v>
      </c>
      <c r="V118" s="28"/>
      <c r="W118" s="28"/>
      <c r="X118" s="28"/>
      <c r="Y118" s="29"/>
      <c r="Z118" s="28"/>
    </row>
    <row r="119" ht="18.75" customHeight="1">
      <c r="A119" s="13">
        <v>46387.0</v>
      </c>
      <c r="B119" s="16" t="s">
        <v>284</v>
      </c>
      <c r="C119" s="16" t="s">
        <v>86</v>
      </c>
      <c r="D119" s="12">
        <v>17.0</v>
      </c>
      <c r="E119" s="16" t="s">
        <v>156</v>
      </c>
      <c r="F119" s="12">
        <v>3.0</v>
      </c>
      <c r="G119" s="18"/>
      <c r="H119" s="18"/>
      <c r="I119" s="18"/>
      <c r="J119" s="18"/>
      <c r="K119" s="18"/>
      <c r="L119" s="22">
        <f t="shared" si="1"/>
        <v>0</v>
      </c>
      <c r="M119" s="23"/>
      <c r="N119" s="23"/>
      <c r="O119" s="23"/>
      <c r="P119" s="23"/>
      <c r="Q119" s="23"/>
      <c r="R119" s="23"/>
      <c r="S119" s="22">
        <f t="shared" si="2"/>
        <v>0</v>
      </c>
      <c r="T119" s="22">
        <f t="shared" si="3"/>
        <v>0</v>
      </c>
      <c r="U119" s="22">
        <f t="shared" si="4"/>
        <v>0</v>
      </c>
      <c r="V119" s="28"/>
      <c r="W119" s="28"/>
      <c r="X119" s="28"/>
      <c r="Y119" s="29"/>
      <c r="Z119" s="28"/>
    </row>
    <row r="120" ht="18.75" customHeight="1">
      <c r="A120" s="32">
        <v>46388.0</v>
      </c>
      <c r="B120" s="33" t="s">
        <v>296</v>
      </c>
      <c r="C120" s="33" t="s">
        <v>93</v>
      </c>
      <c r="D120" s="34">
        <v>17.0</v>
      </c>
      <c r="E120" s="33" t="s">
        <v>156</v>
      </c>
      <c r="F120" s="34">
        <v>3.0</v>
      </c>
      <c r="G120" s="18"/>
      <c r="H120" s="18"/>
      <c r="I120" s="18"/>
      <c r="J120" s="18"/>
      <c r="K120" s="18"/>
      <c r="L120" s="22">
        <f t="shared" si="1"/>
        <v>0</v>
      </c>
      <c r="M120" s="23"/>
      <c r="N120" s="23"/>
      <c r="O120" s="23"/>
      <c r="P120" s="23"/>
      <c r="Q120" s="23"/>
      <c r="R120" s="23"/>
      <c r="S120" s="22">
        <f t="shared" si="2"/>
        <v>0</v>
      </c>
      <c r="T120" s="22">
        <f t="shared" si="3"/>
        <v>0</v>
      </c>
      <c r="U120" s="22">
        <f t="shared" si="4"/>
        <v>0</v>
      </c>
      <c r="V120" s="28"/>
      <c r="W120" s="28"/>
      <c r="X120" s="28"/>
      <c r="Y120" s="29"/>
      <c r="Z120" s="28"/>
    </row>
    <row r="121" ht="18.75" customHeight="1">
      <c r="A121" s="13">
        <v>46389.0</v>
      </c>
      <c r="B121" s="16" t="s">
        <v>297</v>
      </c>
      <c r="C121" s="16" t="s">
        <v>98</v>
      </c>
      <c r="D121" s="12">
        <v>17.0</v>
      </c>
      <c r="E121" s="16" t="s">
        <v>156</v>
      </c>
      <c r="F121" s="12">
        <v>3.0</v>
      </c>
      <c r="G121" s="18"/>
      <c r="H121" s="18"/>
      <c r="I121" s="18"/>
      <c r="J121" s="18"/>
      <c r="K121" s="18"/>
      <c r="L121" s="22">
        <f t="shared" si="1"/>
        <v>0</v>
      </c>
      <c r="M121" s="23"/>
      <c r="N121" s="23"/>
      <c r="O121" s="23"/>
      <c r="P121" s="23"/>
      <c r="Q121" s="23"/>
      <c r="R121" s="23"/>
      <c r="S121" s="22">
        <f t="shared" si="2"/>
        <v>0</v>
      </c>
      <c r="T121" s="22">
        <f t="shared" si="3"/>
        <v>0</v>
      </c>
      <c r="U121" s="22">
        <f t="shared" si="4"/>
        <v>0</v>
      </c>
      <c r="V121" s="28"/>
      <c r="W121" s="28"/>
      <c r="X121" s="28"/>
      <c r="Y121" s="29"/>
      <c r="Z121" s="28"/>
    </row>
    <row r="122" ht="18.75" customHeight="1">
      <c r="A122" s="13">
        <v>46390.0</v>
      </c>
      <c r="B122" s="16" t="s">
        <v>298</v>
      </c>
      <c r="C122" s="16" t="s">
        <v>58</v>
      </c>
      <c r="D122" s="12">
        <v>18.0</v>
      </c>
      <c r="E122" s="16" t="s">
        <v>156</v>
      </c>
      <c r="F122" s="12">
        <v>3.0</v>
      </c>
      <c r="G122" s="18"/>
      <c r="H122" s="18"/>
      <c r="I122" s="18"/>
      <c r="J122" s="18"/>
      <c r="K122" s="18"/>
      <c r="L122" s="22">
        <f t="shared" si="1"/>
        <v>0</v>
      </c>
      <c r="M122" s="23"/>
      <c r="N122" s="23"/>
      <c r="O122" s="23"/>
      <c r="P122" s="23"/>
      <c r="Q122" s="23"/>
      <c r="R122" s="23"/>
      <c r="S122" s="22">
        <f t="shared" si="2"/>
        <v>0</v>
      </c>
      <c r="T122" s="22">
        <f t="shared" si="3"/>
        <v>0</v>
      </c>
      <c r="U122" s="22">
        <f t="shared" si="4"/>
        <v>0</v>
      </c>
      <c r="V122" s="28"/>
      <c r="W122" s="28"/>
      <c r="X122" s="28"/>
      <c r="Y122" s="29"/>
      <c r="Z122" s="28"/>
    </row>
    <row r="123" ht="18.75" customHeight="1">
      <c r="A123" s="13">
        <v>46391.0</v>
      </c>
      <c r="B123" s="16" t="s">
        <v>299</v>
      </c>
      <c r="C123" s="16" t="s">
        <v>66</v>
      </c>
      <c r="D123" s="12">
        <v>18.0</v>
      </c>
      <c r="E123" s="16" t="s">
        <v>156</v>
      </c>
      <c r="F123" s="12">
        <v>3.0</v>
      </c>
      <c r="G123" s="18"/>
      <c r="H123" s="18"/>
      <c r="I123" s="18"/>
      <c r="J123" s="18"/>
      <c r="K123" s="18"/>
      <c r="L123" s="22">
        <f t="shared" si="1"/>
        <v>0</v>
      </c>
      <c r="M123" s="23"/>
      <c r="N123" s="23"/>
      <c r="O123" s="23"/>
      <c r="P123" s="23"/>
      <c r="Q123" s="23"/>
      <c r="R123" s="23"/>
      <c r="S123" s="22">
        <f t="shared" si="2"/>
        <v>0</v>
      </c>
      <c r="T123" s="22">
        <f t="shared" si="3"/>
        <v>0</v>
      </c>
      <c r="U123" s="22">
        <f t="shared" si="4"/>
        <v>0</v>
      </c>
      <c r="V123" s="28"/>
      <c r="W123" s="28"/>
      <c r="X123" s="28"/>
      <c r="Y123" s="29"/>
      <c r="Z123" s="28"/>
    </row>
    <row r="124" ht="18.75" customHeight="1">
      <c r="A124" s="13">
        <v>46392.0</v>
      </c>
      <c r="B124" s="16" t="s">
        <v>300</v>
      </c>
      <c r="C124" s="16" t="s">
        <v>72</v>
      </c>
      <c r="D124" s="12">
        <v>18.0</v>
      </c>
      <c r="E124" s="16" t="s">
        <v>156</v>
      </c>
      <c r="F124" s="12">
        <v>3.0</v>
      </c>
      <c r="G124" s="18"/>
      <c r="H124" s="18"/>
      <c r="I124" s="18"/>
      <c r="J124" s="18"/>
      <c r="K124" s="18"/>
      <c r="L124" s="22">
        <f t="shared" si="1"/>
        <v>0</v>
      </c>
      <c r="M124" s="23"/>
      <c r="N124" s="23"/>
      <c r="O124" s="23"/>
      <c r="P124" s="23"/>
      <c r="Q124" s="23"/>
      <c r="R124" s="23"/>
      <c r="S124" s="22">
        <f t="shared" si="2"/>
        <v>0</v>
      </c>
      <c r="T124" s="22">
        <f t="shared" si="3"/>
        <v>0</v>
      </c>
      <c r="U124" s="22">
        <f t="shared" si="4"/>
        <v>0</v>
      </c>
      <c r="V124" s="28"/>
      <c r="W124" s="28"/>
      <c r="X124" s="28"/>
      <c r="Y124" s="29"/>
      <c r="Z124" s="28"/>
    </row>
    <row r="125" ht="18.75" customHeight="1">
      <c r="A125" s="13">
        <v>46393.0</v>
      </c>
      <c r="B125" s="16" t="s">
        <v>301</v>
      </c>
      <c r="C125" s="16" t="s">
        <v>78</v>
      </c>
      <c r="D125" s="12">
        <v>18.0</v>
      </c>
      <c r="E125" s="16" t="s">
        <v>156</v>
      </c>
      <c r="F125" s="12">
        <v>3.0</v>
      </c>
      <c r="G125" s="18"/>
      <c r="H125" s="18"/>
      <c r="I125" s="18"/>
      <c r="J125" s="18"/>
      <c r="K125" s="18"/>
      <c r="L125" s="22">
        <f t="shared" si="1"/>
        <v>0</v>
      </c>
      <c r="M125" s="23"/>
      <c r="N125" s="23"/>
      <c r="O125" s="23"/>
      <c r="P125" s="23"/>
      <c r="Q125" s="23"/>
      <c r="R125" s="23"/>
      <c r="S125" s="22">
        <f t="shared" si="2"/>
        <v>0</v>
      </c>
      <c r="T125" s="22">
        <f t="shared" si="3"/>
        <v>0</v>
      </c>
      <c r="U125" s="22">
        <f t="shared" si="4"/>
        <v>0</v>
      </c>
      <c r="V125" s="28"/>
      <c r="W125" s="28"/>
      <c r="X125" s="28"/>
      <c r="Y125" s="29"/>
      <c r="Z125" s="28"/>
    </row>
    <row r="126" ht="18.75" customHeight="1">
      <c r="A126" s="13">
        <v>46394.0</v>
      </c>
      <c r="B126" s="16" t="s">
        <v>302</v>
      </c>
      <c r="C126" s="16" t="s">
        <v>86</v>
      </c>
      <c r="D126" s="12">
        <v>18.0</v>
      </c>
      <c r="E126" s="16" t="s">
        <v>156</v>
      </c>
      <c r="F126" s="12">
        <v>3.0</v>
      </c>
      <c r="G126" s="18"/>
      <c r="H126" s="18"/>
      <c r="I126" s="18"/>
      <c r="J126" s="18"/>
      <c r="K126" s="18"/>
      <c r="L126" s="22">
        <f t="shared" si="1"/>
        <v>0</v>
      </c>
      <c r="M126" s="23"/>
      <c r="N126" s="23"/>
      <c r="O126" s="23"/>
      <c r="P126" s="23"/>
      <c r="Q126" s="23"/>
      <c r="R126" s="23"/>
      <c r="S126" s="22">
        <f t="shared" si="2"/>
        <v>0</v>
      </c>
      <c r="T126" s="22">
        <f t="shared" si="3"/>
        <v>0</v>
      </c>
      <c r="U126" s="22">
        <f t="shared" si="4"/>
        <v>0</v>
      </c>
      <c r="V126" s="28"/>
      <c r="W126" s="28"/>
      <c r="X126" s="28"/>
      <c r="Y126" s="29"/>
      <c r="Z126" s="28"/>
    </row>
    <row r="127" ht="18.75" customHeight="1">
      <c r="A127" s="32">
        <v>46395.0</v>
      </c>
      <c r="B127" s="33" t="s">
        <v>303</v>
      </c>
      <c r="C127" s="33" t="s">
        <v>93</v>
      </c>
      <c r="D127" s="34">
        <v>18.0</v>
      </c>
      <c r="E127" s="33" t="s">
        <v>156</v>
      </c>
      <c r="F127" s="34">
        <v>3.0</v>
      </c>
      <c r="G127" s="18"/>
      <c r="H127" s="18"/>
      <c r="I127" s="18"/>
      <c r="J127" s="18"/>
      <c r="K127" s="18"/>
      <c r="L127" s="22">
        <f t="shared" si="1"/>
        <v>0</v>
      </c>
      <c r="M127" s="23"/>
      <c r="N127" s="23"/>
      <c r="O127" s="23"/>
      <c r="P127" s="23"/>
      <c r="Q127" s="23"/>
      <c r="R127" s="23"/>
      <c r="S127" s="22">
        <f t="shared" si="2"/>
        <v>0</v>
      </c>
      <c r="T127" s="22">
        <f t="shared" si="3"/>
        <v>0</v>
      </c>
      <c r="U127" s="22">
        <f t="shared" si="4"/>
        <v>0</v>
      </c>
      <c r="V127" s="28"/>
      <c r="W127" s="28"/>
      <c r="X127" s="28"/>
      <c r="Y127" s="29"/>
      <c r="Z127" s="28"/>
    </row>
    <row r="128" ht="18.75" customHeight="1">
      <c r="A128" s="13">
        <v>46396.0</v>
      </c>
      <c r="B128" s="16" t="s">
        <v>304</v>
      </c>
      <c r="C128" s="16" t="s">
        <v>98</v>
      </c>
      <c r="D128" s="12">
        <v>18.0</v>
      </c>
      <c r="E128" s="16" t="s">
        <v>156</v>
      </c>
      <c r="F128" s="12">
        <v>3.0</v>
      </c>
      <c r="G128" s="18"/>
      <c r="H128" s="18"/>
      <c r="I128" s="18"/>
      <c r="J128" s="18"/>
      <c r="K128" s="18"/>
      <c r="L128" s="22">
        <f t="shared" si="1"/>
        <v>0</v>
      </c>
      <c r="M128" s="23"/>
      <c r="N128" s="23"/>
      <c r="O128" s="23"/>
      <c r="P128" s="23"/>
      <c r="Q128" s="23"/>
      <c r="R128" s="23"/>
      <c r="S128" s="22">
        <f t="shared" si="2"/>
        <v>0</v>
      </c>
      <c r="T128" s="22">
        <f t="shared" si="3"/>
        <v>0</v>
      </c>
      <c r="U128" s="22">
        <f t="shared" si="4"/>
        <v>0</v>
      </c>
      <c r="V128" s="28"/>
      <c r="W128" s="28"/>
      <c r="X128" s="28"/>
      <c r="Y128" s="29"/>
      <c r="Z128" s="28"/>
    </row>
    <row r="129" ht="18.75" customHeight="1">
      <c r="A129" s="13">
        <v>46397.0</v>
      </c>
      <c r="B129" s="16" t="s">
        <v>305</v>
      </c>
      <c r="C129" s="16" t="s">
        <v>58</v>
      </c>
      <c r="D129" s="12">
        <v>19.0</v>
      </c>
      <c r="E129" s="16" t="s">
        <v>156</v>
      </c>
      <c r="F129" s="12">
        <v>3.0</v>
      </c>
      <c r="G129" s="18"/>
      <c r="H129" s="18"/>
      <c r="I129" s="18"/>
      <c r="J129" s="18"/>
      <c r="K129" s="18"/>
      <c r="L129" s="22">
        <f t="shared" si="1"/>
        <v>0</v>
      </c>
      <c r="M129" s="23"/>
      <c r="N129" s="23"/>
      <c r="O129" s="23"/>
      <c r="P129" s="23"/>
      <c r="Q129" s="23"/>
      <c r="R129" s="23"/>
      <c r="S129" s="22">
        <f t="shared" si="2"/>
        <v>0</v>
      </c>
      <c r="T129" s="22">
        <f t="shared" si="3"/>
        <v>0</v>
      </c>
      <c r="U129" s="22">
        <f t="shared" si="4"/>
        <v>0</v>
      </c>
      <c r="V129" s="28"/>
      <c r="W129" s="28"/>
      <c r="X129" s="28"/>
      <c r="Y129" s="29"/>
      <c r="Z129" s="28"/>
    </row>
    <row r="130" ht="18.75" customHeight="1">
      <c r="A130" s="13">
        <v>46398.0</v>
      </c>
      <c r="B130" s="16" t="s">
        <v>306</v>
      </c>
      <c r="C130" s="16" t="s">
        <v>66</v>
      </c>
      <c r="D130" s="12">
        <v>19.0</v>
      </c>
      <c r="E130" s="16" t="s">
        <v>156</v>
      </c>
      <c r="F130" s="12">
        <v>3.0</v>
      </c>
      <c r="G130" s="18"/>
      <c r="H130" s="18"/>
      <c r="I130" s="18"/>
      <c r="J130" s="18"/>
      <c r="K130" s="18"/>
      <c r="L130" s="22">
        <f t="shared" si="1"/>
        <v>0</v>
      </c>
      <c r="M130" s="23"/>
      <c r="N130" s="23"/>
      <c r="O130" s="23"/>
      <c r="P130" s="23"/>
      <c r="Q130" s="23"/>
      <c r="R130" s="23"/>
      <c r="S130" s="22">
        <f t="shared" si="2"/>
        <v>0</v>
      </c>
      <c r="T130" s="22">
        <f t="shared" si="3"/>
        <v>0</v>
      </c>
      <c r="U130" s="22">
        <f t="shared" si="4"/>
        <v>0</v>
      </c>
      <c r="V130" s="28"/>
      <c r="W130" s="28"/>
      <c r="X130" s="28"/>
      <c r="Y130" s="29"/>
      <c r="Z130" s="28"/>
    </row>
    <row r="131" ht="18.75" customHeight="1">
      <c r="A131" s="13">
        <v>46399.0</v>
      </c>
      <c r="B131" s="16" t="s">
        <v>307</v>
      </c>
      <c r="C131" s="16" t="s">
        <v>72</v>
      </c>
      <c r="D131" s="12">
        <v>19.0</v>
      </c>
      <c r="E131" s="16" t="s">
        <v>156</v>
      </c>
      <c r="F131" s="12">
        <v>3.0</v>
      </c>
      <c r="G131" s="18"/>
      <c r="H131" s="18"/>
      <c r="I131" s="18"/>
      <c r="J131" s="18"/>
      <c r="K131" s="18"/>
      <c r="L131" s="22">
        <f t="shared" si="1"/>
        <v>0</v>
      </c>
      <c r="M131" s="23"/>
      <c r="N131" s="23"/>
      <c r="O131" s="23"/>
      <c r="P131" s="23"/>
      <c r="Q131" s="23"/>
      <c r="R131" s="23"/>
      <c r="S131" s="22">
        <f t="shared" si="2"/>
        <v>0</v>
      </c>
      <c r="T131" s="22">
        <f t="shared" si="3"/>
        <v>0</v>
      </c>
      <c r="U131" s="22">
        <f t="shared" si="4"/>
        <v>0</v>
      </c>
      <c r="V131" s="28"/>
      <c r="W131" s="28"/>
      <c r="X131" s="28"/>
      <c r="Y131" s="29"/>
      <c r="Z131" s="28"/>
    </row>
    <row r="132" ht="18.75" customHeight="1">
      <c r="A132" s="13">
        <v>46400.0</v>
      </c>
      <c r="B132" s="16" t="s">
        <v>308</v>
      </c>
      <c r="C132" s="16" t="s">
        <v>78</v>
      </c>
      <c r="D132" s="12">
        <v>19.0</v>
      </c>
      <c r="E132" s="16" t="s">
        <v>156</v>
      </c>
      <c r="F132" s="12">
        <v>3.0</v>
      </c>
      <c r="G132" s="18"/>
      <c r="H132" s="18"/>
      <c r="I132" s="18"/>
      <c r="J132" s="18"/>
      <c r="K132" s="18"/>
      <c r="L132" s="22">
        <f t="shared" si="1"/>
        <v>0</v>
      </c>
      <c r="M132" s="23"/>
      <c r="N132" s="23"/>
      <c r="O132" s="23"/>
      <c r="P132" s="23"/>
      <c r="Q132" s="23"/>
      <c r="R132" s="23"/>
      <c r="S132" s="22">
        <f t="shared" si="2"/>
        <v>0</v>
      </c>
      <c r="T132" s="22">
        <f t="shared" si="3"/>
        <v>0</v>
      </c>
      <c r="U132" s="22">
        <f t="shared" si="4"/>
        <v>0</v>
      </c>
      <c r="V132" s="28"/>
      <c r="W132" s="28"/>
      <c r="X132" s="28"/>
      <c r="Y132" s="29"/>
      <c r="Z132" s="28"/>
    </row>
    <row r="133" ht="18.75" customHeight="1">
      <c r="A133" s="13">
        <v>46401.0</v>
      </c>
      <c r="B133" s="16" t="s">
        <v>309</v>
      </c>
      <c r="C133" s="16" t="s">
        <v>86</v>
      </c>
      <c r="D133" s="12">
        <v>19.0</v>
      </c>
      <c r="E133" s="16" t="s">
        <v>156</v>
      </c>
      <c r="F133" s="12">
        <v>3.0</v>
      </c>
      <c r="G133" s="18"/>
      <c r="H133" s="18"/>
      <c r="I133" s="18"/>
      <c r="J133" s="18"/>
      <c r="K133" s="18"/>
      <c r="L133" s="22">
        <f t="shared" si="1"/>
        <v>0</v>
      </c>
      <c r="M133" s="23"/>
      <c r="N133" s="23"/>
      <c r="O133" s="23"/>
      <c r="P133" s="23"/>
      <c r="Q133" s="23"/>
      <c r="R133" s="23"/>
      <c r="S133" s="22">
        <f t="shared" si="2"/>
        <v>0</v>
      </c>
      <c r="T133" s="22">
        <f t="shared" si="3"/>
        <v>0</v>
      </c>
      <c r="U133" s="22">
        <f t="shared" si="4"/>
        <v>0</v>
      </c>
      <c r="V133" s="28"/>
      <c r="W133" s="28"/>
      <c r="X133" s="28"/>
      <c r="Y133" s="29"/>
      <c r="Z133" s="28"/>
    </row>
    <row r="134" ht="18.75" customHeight="1">
      <c r="A134" s="32">
        <v>46402.0</v>
      </c>
      <c r="B134" s="33" t="s">
        <v>310</v>
      </c>
      <c r="C134" s="33" t="s">
        <v>93</v>
      </c>
      <c r="D134" s="34">
        <v>19.0</v>
      </c>
      <c r="E134" s="33" t="s">
        <v>156</v>
      </c>
      <c r="F134" s="34">
        <v>3.0</v>
      </c>
      <c r="G134" s="18"/>
      <c r="H134" s="18"/>
      <c r="I134" s="18"/>
      <c r="J134" s="18"/>
      <c r="K134" s="18"/>
      <c r="L134" s="22">
        <f t="shared" si="1"/>
        <v>0</v>
      </c>
      <c r="M134" s="23"/>
      <c r="N134" s="23"/>
      <c r="O134" s="23"/>
      <c r="P134" s="23"/>
      <c r="Q134" s="23"/>
      <c r="R134" s="23"/>
      <c r="S134" s="22">
        <f t="shared" si="2"/>
        <v>0</v>
      </c>
      <c r="T134" s="22">
        <f t="shared" si="3"/>
        <v>0</v>
      </c>
      <c r="U134" s="22">
        <f t="shared" si="4"/>
        <v>0</v>
      </c>
      <c r="V134" s="28"/>
      <c r="W134" s="28"/>
      <c r="X134" s="28"/>
      <c r="Y134" s="29"/>
      <c r="Z134" s="28"/>
    </row>
    <row r="135" ht="18.75" customHeight="1">
      <c r="A135" s="13">
        <v>46403.0</v>
      </c>
      <c r="B135" s="16" t="s">
        <v>311</v>
      </c>
      <c r="C135" s="16" t="s">
        <v>98</v>
      </c>
      <c r="D135" s="12">
        <v>19.0</v>
      </c>
      <c r="E135" s="16" t="s">
        <v>156</v>
      </c>
      <c r="F135" s="12">
        <v>3.0</v>
      </c>
      <c r="G135" s="18"/>
      <c r="H135" s="18"/>
      <c r="I135" s="18"/>
      <c r="J135" s="18"/>
      <c r="K135" s="18"/>
      <c r="L135" s="22">
        <f t="shared" si="1"/>
        <v>0</v>
      </c>
      <c r="M135" s="23"/>
      <c r="N135" s="23"/>
      <c r="O135" s="23"/>
      <c r="P135" s="23"/>
      <c r="Q135" s="23"/>
      <c r="R135" s="23"/>
      <c r="S135" s="22">
        <f t="shared" si="2"/>
        <v>0</v>
      </c>
      <c r="T135" s="22">
        <f t="shared" si="3"/>
        <v>0</v>
      </c>
      <c r="U135" s="22">
        <f t="shared" si="4"/>
        <v>0</v>
      </c>
      <c r="V135" s="28"/>
      <c r="W135" s="28"/>
      <c r="X135" s="28"/>
      <c r="Y135" s="29"/>
      <c r="Z135" s="28"/>
    </row>
    <row r="136" ht="18.75" customHeight="1">
      <c r="A136" s="13">
        <v>46404.0</v>
      </c>
      <c r="B136" s="16" t="s">
        <v>312</v>
      </c>
      <c r="C136" s="16" t="s">
        <v>58</v>
      </c>
      <c r="D136" s="12">
        <v>20.0</v>
      </c>
      <c r="E136" s="16" t="s">
        <v>156</v>
      </c>
      <c r="F136" s="12">
        <v>3.0</v>
      </c>
      <c r="G136" s="18"/>
      <c r="H136" s="18"/>
      <c r="I136" s="18"/>
      <c r="J136" s="18"/>
      <c r="K136" s="18"/>
      <c r="L136" s="22">
        <f t="shared" si="1"/>
        <v>0</v>
      </c>
      <c r="M136" s="23"/>
      <c r="N136" s="23"/>
      <c r="O136" s="23"/>
      <c r="P136" s="23"/>
      <c r="Q136" s="23"/>
      <c r="R136" s="23"/>
      <c r="S136" s="22">
        <f t="shared" si="2"/>
        <v>0</v>
      </c>
      <c r="T136" s="22">
        <f t="shared" si="3"/>
        <v>0</v>
      </c>
      <c r="U136" s="22">
        <f t="shared" si="4"/>
        <v>0</v>
      </c>
      <c r="V136" s="28"/>
      <c r="W136" s="28"/>
      <c r="X136" s="28"/>
      <c r="Y136" s="29"/>
      <c r="Z136" s="28"/>
    </row>
    <row r="137" ht="18.75" customHeight="1">
      <c r="A137" s="13">
        <v>46405.0</v>
      </c>
      <c r="B137" s="16" t="s">
        <v>313</v>
      </c>
      <c r="C137" s="16" t="s">
        <v>66</v>
      </c>
      <c r="D137" s="12">
        <v>20.0</v>
      </c>
      <c r="E137" s="16" t="s">
        <v>156</v>
      </c>
      <c r="F137" s="12">
        <v>3.0</v>
      </c>
      <c r="G137" s="18"/>
      <c r="H137" s="18"/>
      <c r="I137" s="18"/>
      <c r="J137" s="18"/>
      <c r="K137" s="18"/>
      <c r="L137" s="22">
        <f t="shared" si="1"/>
        <v>0</v>
      </c>
      <c r="M137" s="23"/>
      <c r="N137" s="23"/>
      <c r="O137" s="23"/>
      <c r="P137" s="23"/>
      <c r="Q137" s="23"/>
      <c r="R137" s="23"/>
      <c r="S137" s="22">
        <f t="shared" si="2"/>
        <v>0</v>
      </c>
      <c r="T137" s="22">
        <f t="shared" si="3"/>
        <v>0</v>
      </c>
      <c r="U137" s="22">
        <f t="shared" si="4"/>
        <v>0</v>
      </c>
      <c r="V137" s="28"/>
      <c r="W137" s="28"/>
      <c r="X137" s="28"/>
      <c r="Y137" s="29"/>
      <c r="Z137" s="28"/>
    </row>
    <row r="138" ht="18.75" customHeight="1">
      <c r="A138" s="13">
        <v>46406.0</v>
      </c>
      <c r="B138" s="16" t="s">
        <v>314</v>
      </c>
      <c r="C138" s="16" t="s">
        <v>72</v>
      </c>
      <c r="D138" s="12">
        <v>20.0</v>
      </c>
      <c r="E138" s="16" t="s">
        <v>156</v>
      </c>
      <c r="F138" s="12">
        <v>3.0</v>
      </c>
      <c r="G138" s="18"/>
      <c r="H138" s="18"/>
      <c r="I138" s="18"/>
      <c r="J138" s="18"/>
      <c r="K138" s="18"/>
      <c r="L138" s="22">
        <f t="shared" si="1"/>
        <v>0</v>
      </c>
      <c r="M138" s="23"/>
      <c r="N138" s="23"/>
      <c r="O138" s="23"/>
      <c r="P138" s="23"/>
      <c r="Q138" s="23"/>
      <c r="R138" s="23"/>
      <c r="S138" s="22">
        <f t="shared" si="2"/>
        <v>0</v>
      </c>
      <c r="T138" s="22">
        <f t="shared" si="3"/>
        <v>0</v>
      </c>
      <c r="U138" s="22">
        <f t="shared" si="4"/>
        <v>0</v>
      </c>
      <c r="V138" s="28"/>
      <c r="W138" s="28"/>
      <c r="X138" s="28"/>
      <c r="Y138" s="29"/>
      <c r="Z138" s="28"/>
    </row>
    <row r="139" ht="18.75" customHeight="1">
      <c r="A139" s="13">
        <v>46407.0</v>
      </c>
      <c r="B139" s="16" t="s">
        <v>315</v>
      </c>
      <c r="C139" s="16" t="s">
        <v>78</v>
      </c>
      <c r="D139" s="12">
        <v>20.0</v>
      </c>
      <c r="E139" s="16" t="s">
        <v>156</v>
      </c>
      <c r="F139" s="12">
        <v>3.0</v>
      </c>
      <c r="G139" s="18"/>
      <c r="H139" s="18"/>
      <c r="I139" s="18"/>
      <c r="J139" s="18"/>
      <c r="K139" s="18"/>
      <c r="L139" s="22">
        <f t="shared" si="1"/>
        <v>0</v>
      </c>
      <c r="M139" s="23"/>
      <c r="N139" s="23"/>
      <c r="O139" s="23"/>
      <c r="P139" s="23"/>
      <c r="Q139" s="23"/>
      <c r="R139" s="23"/>
      <c r="S139" s="22">
        <f t="shared" si="2"/>
        <v>0</v>
      </c>
      <c r="T139" s="22">
        <f t="shared" si="3"/>
        <v>0</v>
      </c>
      <c r="U139" s="22">
        <f t="shared" si="4"/>
        <v>0</v>
      </c>
      <c r="V139" s="28"/>
      <c r="W139" s="28"/>
      <c r="X139" s="28"/>
      <c r="Y139" s="29"/>
      <c r="Z139" s="28"/>
    </row>
    <row r="140" ht="18.75" customHeight="1">
      <c r="A140" s="13">
        <v>46408.0</v>
      </c>
      <c r="B140" s="16" t="s">
        <v>316</v>
      </c>
      <c r="C140" s="16" t="s">
        <v>86</v>
      </c>
      <c r="D140" s="12">
        <v>20.0</v>
      </c>
      <c r="E140" s="16" t="s">
        <v>166</v>
      </c>
      <c r="F140" s="12">
        <v>3.0</v>
      </c>
      <c r="G140" s="18"/>
      <c r="H140" s="18"/>
      <c r="I140" s="18"/>
      <c r="J140" s="18"/>
      <c r="K140" s="18"/>
      <c r="L140" s="22">
        <f t="shared" si="1"/>
        <v>0</v>
      </c>
      <c r="M140" s="23"/>
      <c r="N140" s="23"/>
      <c r="O140" s="23"/>
      <c r="P140" s="23"/>
      <c r="Q140" s="23"/>
      <c r="R140" s="23"/>
      <c r="S140" s="22">
        <f t="shared" si="2"/>
        <v>0</v>
      </c>
      <c r="T140" s="22">
        <f t="shared" si="3"/>
        <v>0</v>
      </c>
      <c r="U140" s="22">
        <f t="shared" si="4"/>
        <v>0</v>
      </c>
      <c r="V140" s="28"/>
      <c r="W140" s="28"/>
      <c r="X140" s="28"/>
      <c r="Y140" s="29"/>
      <c r="Z140" s="28"/>
    </row>
    <row r="141" ht="18.75" customHeight="1">
      <c r="A141" s="32">
        <v>46409.0</v>
      </c>
      <c r="B141" s="33" t="s">
        <v>317</v>
      </c>
      <c r="C141" s="33" t="s">
        <v>93</v>
      </c>
      <c r="D141" s="34">
        <v>20.0</v>
      </c>
      <c r="E141" s="33" t="s">
        <v>166</v>
      </c>
      <c r="F141" s="34">
        <v>3.0</v>
      </c>
      <c r="G141" s="18"/>
      <c r="H141" s="18"/>
      <c r="I141" s="18"/>
      <c r="J141" s="18"/>
      <c r="K141" s="18"/>
      <c r="L141" s="22">
        <f t="shared" si="1"/>
        <v>0</v>
      </c>
      <c r="M141" s="23"/>
      <c r="N141" s="23"/>
      <c r="O141" s="23"/>
      <c r="P141" s="23"/>
      <c r="Q141" s="23"/>
      <c r="R141" s="23"/>
      <c r="S141" s="22">
        <f t="shared" si="2"/>
        <v>0</v>
      </c>
      <c r="T141" s="22">
        <f t="shared" si="3"/>
        <v>0</v>
      </c>
      <c r="U141" s="22">
        <f t="shared" si="4"/>
        <v>0</v>
      </c>
      <c r="V141" s="28"/>
      <c r="W141" s="28"/>
      <c r="X141" s="28"/>
      <c r="Y141" s="29"/>
      <c r="Z141" s="28"/>
    </row>
    <row r="142" ht="18.75" customHeight="1">
      <c r="A142" s="13">
        <v>46410.0</v>
      </c>
      <c r="B142" s="16" t="s">
        <v>318</v>
      </c>
      <c r="C142" s="16" t="s">
        <v>98</v>
      </c>
      <c r="D142" s="12">
        <v>20.0</v>
      </c>
      <c r="E142" s="16" t="s">
        <v>166</v>
      </c>
      <c r="F142" s="12">
        <v>3.0</v>
      </c>
      <c r="G142" s="18"/>
      <c r="H142" s="18"/>
      <c r="I142" s="18"/>
      <c r="J142" s="18"/>
      <c r="K142" s="18"/>
      <c r="L142" s="22">
        <f t="shared" si="1"/>
        <v>0</v>
      </c>
      <c r="M142" s="23"/>
      <c r="N142" s="23"/>
      <c r="O142" s="23"/>
      <c r="P142" s="23"/>
      <c r="Q142" s="23"/>
      <c r="R142" s="23"/>
      <c r="S142" s="22">
        <f t="shared" si="2"/>
        <v>0</v>
      </c>
      <c r="T142" s="22">
        <f t="shared" si="3"/>
        <v>0</v>
      </c>
      <c r="U142" s="22">
        <f t="shared" si="4"/>
        <v>0</v>
      </c>
      <c r="V142" s="28"/>
      <c r="W142" s="28"/>
      <c r="X142" s="28"/>
      <c r="Y142" s="29"/>
      <c r="Z142" s="28"/>
    </row>
    <row r="143" ht="18.75" customHeight="1">
      <c r="A143" s="13">
        <v>46411.0</v>
      </c>
      <c r="B143" s="16" t="s">
        <v>319</v>
      </c>
      <c r="C143" s="16" t="s">
        <v>58</v>
      </c>
      <c r="D143" s="12">
        <v>21.0</v>
      </c>
      <c r="E143" s="16" t="s">
        <v>166</v>
      </c>
      <c r="F143" s="12">
        <v>4.0</v>
      </c>
      <c r="G143" s="18"/>
      <c r="H143" s="18"/>
      <c r="I143" s="18"/>
      <c r="J143" s="18"/>
      <c r="K143" s="18"/>
      <c r="L143" s="22">
        <f t="shared" si="1"/>
        <v>0</v>
      </c>
      <c r="M143" s="23"/>
      <c r="N143" s="23"/>
      <c r="O143" s="23"/>
      <c r="P143" s="23"/>
      <c r="Q143" s="23"/>
      <c r="R143" s="23"/>
      <c r="S143" s="22">
        <f t="shared" si="2"/>
        <v>0</v>
      </c>
      <c r="T143" s="22">
        <f t="shared" si="3"/>
        <v>0</v>
      </c>
      <c r="U143" s="22">
        <f t="shared" si="4"/>
        <v>0</v>
      </c>
      <c r="V143" s="28"/>
      <c r="W143" s="28"/>
      <c r="X143" s="28"/>
      <c r="Y143" s="29"/>
      <c r="Z143" s="28"/>
    </row>
    <row r="144" ht="18.75" customHeight="1">
      <c r="A144" s="13">
        <v>46412.0</v>
      </c>
      <c r="B144" s="16" t="s">
        <v>320</v>
      </c>
      <c r="C144" s="16" t="s">
        <v>66</v>
      </c>
      <c r="D144" s="12">
        <v>21.0</v>
      </c>
      <c r="E144" s="16" t="s">
        <v>166</v>
      </c>
      <c r="F144" s="12">
        <v>4.0</v>
      </c>
      <c r="G144" s="18"/>
      <c r="H144" s="18"/>
      <c r="I144" s="18"/>
      <c r="J144" s="18"/>
      <c r="K144" s="18"/>
      <c r="L144" s="22">
        <f t="shared" si="1"/>
        <v>0</v>
      </c>
      <c r="M144" s="23"/>
      <c r="N144" s="23"/>
      <c r="O144" s="23"/>
      <c r="P144" s="23"/>
      <c r="Q144" s="23"/>
      <c r="R144" s="23"/>
      <c r="S144" s="22">
        <f t="shared" si="2"/>
        <v>0</v>
      </c>
      <c r="T144" s="22">
        <f t="shared" si="3"/>
        <v>0</v>
      </c>
      <c r="U144" s="22">
        <f t="shared" si="4"/>
        <v>0</v>
      </c>
      <c r="V144" s="28"/>
      <c r="W144" s="28"/>
      <c r="X144" s="28"/>
      <c r="Y144" s="29"/>
      <c r="Z144" s="28"/>
    </row>
    <row r="145" ht="18.75" customHeight="1">
      <c r="A145" s="13">
        <v>46413.0</v>
      </c>
      <c r="B145" s="16" t="s">
        <v>321</v>
      </c>
      <c r="C145" s="16" t="s">
        <v>72</v>
      </c>
      <c r="D145" s="12">
        <v>21.0</v>
      </c>
      <c r="E145" s="16" t="s">
        <v>166</v>
      </c>
      <c r="F145" s="12">
        <v>4.0</v>
      </c>
      <c r="G145" s="18"/>
      <c r="H145" s="18"/>
      <c r="I145" s="18"/>
      <c r="J145" s="18"/>
      <c r="K145" s="18"/>
      <c r="L145" s="22">
        <f t="shared" si="1"/>
        <v>0</v>
      </c>
      <c r="M145" s="23"/>
      <c r="N145" s="23"/>
      <c r="O145" s="23"/>
      <c r="P145" s="23"/>
      <c r="Q145" s="23"/>
      <c r="R145" s="23"/>
      <c r="S145" s="22">
        <f t="shared" si="2"/>
        <v>0</v>
      </c>
      <c r="T145" s="22">
        <f t="shared" si="3"/>
        <v>0</v>
      </c>
      <c r="U145" s="22">
        <f t="shared" si="4"/>
        <v>0</v>
      </c>
      <c r="V145" s="28"/>
      <c r="W145" s="28"/>
      <c r="X145" s="28"/>
      <c r="Y145" s="29"/>
      <c r="Z145" s="28"/>
    </row>
    <row r="146" ht="18.75" customHeight="1">
      <c r="A146" s="13">
        <v>46414.0</v>
      </c>
      <c r="B146" s="16" t="s">
        <v>322</v>
      </c>
      <c r="C146" s="16" t="s">
        <v>78</v>
      </c>
      <c r="D146" s="12">
        <v>21.0</v>
      </c>
      <c r="E146" s="16" t="s">
        <v>166</v>
      </c>
      <c r="F146" s="12">
        <v>4.0</v>
      </c>
      <c r="G146" s="18"/>
      <c r="H146" s="18"/>
      <c r="I146" s="18"/>
      <c r="J146" s="18"/>
      <c r="K146" s="18"/>
      <c r="L146" s="22">
        <f t="shared" si="1"/>
        <v>0</v>
      </c>
      <c r="M146" s="23"/>
      <c r="N146" s="23"/>
      <c r="O146" s="23"/>
      <c r="P146" s="23"/>
      <c r="Q146" s="23"/>
      <c r="R146" s="23"/>
      <c r="S146" s="22">
        <f t="shared" si="2"/>
        <v>0</v>
      </c>
      <c r="T146" s="22">
        <f t="shared" si="3"/>
        <v>0</v>
      </c>
      <c r="U146" s="22">
        <f t="shared" si="4"/>
        <v>0</v>
      </c>
      <c r="V146" s="28"/>
      <c r="W146" s="28"/>
      <c r="X146" s="28"/>
      <c r="Y146" s="29"/>
      <c r="Z146" s="28"/>
    </row>
    <row r="147" ht="18.75" customHeight="1">
      <c r="A147" s="13">
        <v>46415.0</v>
      </c>
      <c r="B147" s="16" t="s">
        <v>323</v>
      </c>
      <c r="C147" s="16" t="s">
        <v>86</v>
      </c>
      <c r="D147" s="12">
        <v>21.0</v>
      </c>
      <c r="E147" s="16" t="s">
        <v>166</v>
      </c>
      <c r="F147" s="12">
        <v>4.0</v>
      </c>
      <c r="G147" s="18"/>
      <c r="H147" s="18"/>
      <c r="I147" s="18"/>
      <c r="J147" s="18"/>
      <c r="K147" s="18"/>
      <c r="L147" s="22">
        <f t="shared" si="1"/>
        <v>0</v>
      </c>
      <c r="M147" s="23"/>
      <c r="N147" s="23"/>
      <c r="O147" s="23"/>
      <c r="P147" s="23"/>
      <c r="Q147" s="23"/>
      <c r="R147" s="23"/>
      <c r="S147" s="22">
        <f t="shared" si="2"/>
        <v>0</v>
      </c>
      <c r="T147" s="22">
        <f t="shared" si="3"/>
        <v>0</v>
      </c>
      <c r="U147" s="22">
        <f t="shared" si="4"/>
        <v>0</v>
      </c>
      <c r="V147" s="28"/>
      <c r="W147" s="28"/>
      <c r="X147" s="28"/>
      <c r="Y147" s="29"/>
      <c r="Z147" s="28"/>
    </row>
    <row r="148" ht="18.75" customHeight="1">
      <c r="A148" s="32">
        <v>46416.0</v>
      </c>
      <c r="B148" s="33" t="s">
        <v>324</v>
      </c>
      <c r="C148" s="33" t="s">
        <v>93</v>
      </c>
      <c r="D148" s="34">
        <v>21.0</v>
      </c>
      <c r="E148" s="33" t="s">
        <v>166</v>
      </c>
      <c r="F148" s="34">
        <v>4.0</v>
      </c>
      <c r="G148" s="18"/>
      <c r="H148" s="18"/>
      <c r="I148" s="18"/>
      <c r="J148" s="18"/>
      <c r="K148" s="18"/>
      <c r="L148" s="22">
        <f t="shared" si="1"/>
        <v>0</v>
      </c>
      <c r="M148" s="23"/>
      <c r="N148" s="23"/>
      <c r="O148" s="23"/>
      <c r="P148" s="23"/>
      <c r="Q148" s="23"/>
      <c r="R148" s="23"/>
      <c r="S148" s="22">
        <f t="shared" si="2"/>
        <v>0</v>
      </c>
      <c r="T148" s="22">
        <f t="shared" si="3"/>
        <v>0</v>
      </c>
      <c r="U148" s="22">
        <f t="shared" si="4"/>
        <v>0</v>
      </c>
      <c r="V148" s="28"/>
      <c r="W148" s="28"/>
      <c r="X148" s="28"/>
      <c r="Y148" s="29"/>
      <c r="Z148" s="28"/>
    </row>
    <row r="149" ht="18.75" customHeight="1">
      <c r="A149" s="13">
        <v>46417.0</v>
      </c>
      <c r="B149" s="16" t="s">
        <v>325</v>
      </c>
      <c r="C149" s="16" t="s">
        <v>98</v>
      </c>
      <c r="D149" s="12">
        <v>21.0</v>
      </c>
      <c r="E149" s="16" t="s">
        <v>166</v>
      </c>
      <c r="F149" s="12">
        <v>4.0</v>
      </c>
      <c r="G149" s="18"/>
      <c r="H149" s="18"/>
      <c r="I149" s="18"/>
      <c r="J149" s="18"/>
      <c r="K149" s="18"/>
      <c r="L149" s="22">
        <f t="shared" si="1"/>
        <v>0</v>
      </c>
      <c r="M149" s="23"/>
      <c r="N149" s="23"/>
      <c r="O149" s="23"/>
      <c r="P149" s="23"/>
      <c r="Q149" s="23"/>
      <c r="R149" s="23"/>
      <c r="S149" s="22">
        <f t="shared" si="2"/>
        <v>0</v>
      </c>
      <c r="T149" s="22">
        <f t="shared" si="3"/>
        <v>0</v>
      </c>
      <c r="U149" s="22">
        <f t="shared" si="4"/>
        <v>0</v>
      </c>
      <c r="V149" s="28"/>
      <c r="W149" s="28"/>
      <c r="X149" s="28"/>
      <c r="Y149" s="29"/>
      <c r="Z149" s="28"/>
    </row>
    <row r="150" ht="18.75" customHeight="1">
      <c r="A150" s="13">
        <v>46418.0</v>
      </c>
      <c r="B150" s="16" t="s">
        <v>326</v>
      </c>
      <c r="C150" s="16" t="s">
        <v>58</v>
      </c>
      <c r="D150" s="12">
        <v>22.0</v>
      </c>
      <c r="E150" s="16" t="s">
        <v>166</v>
      </c>
      <c r="F150" s="12">
        <v>4.0</v>
      </c>
      <c r="G150" s="18"/>
      <c r="H150" s="18"/>
      <c r="I150" s="18"/>
      <c r="J150" s="18"/>
      <c r="K150" s="18"/>
      <c r="L150" s="22">
        <f t="shared" si="1"/>
        <v>0</v>
      </c>
      <c r="M150" s="23"/>
      <c r="N150" s="23"/>
      <c r="O150" s="23"/>
      <c r="P150" s="23"/>
      <c r="Q150" s="23"/>
      <c r="R150" s="23"/>
      <c r="S150" s="22">
        <f t="shared" si="2"/>
        <v>0</v>
      </c>
      <c r="T150" s="22">
        <f t="shared" si="3"/>
        <v>0</v>
      </c>
      <c r="U150" s="22">
        <f t="shared" si="4"/>
        <v>0</v>
      </c>
      <c r="V150" s="28"/>
      <c r="W150" s="28"/>
      <c r="X150" s="28"/>
      <c r="Y150" s="29"/>
      <c r="Z150" s="28"/>
    </row>
    <row r="151" ht="18.75" customHeight="1">
      <c r="A151" s="13">
        <v>46419.0</v>
      </c>
      <c r="B151" s="16" t="s">
        <v>327</v>
      </c>
      <c r="C151" s="16" t="s">
        <v>66</v>
      </c>
      <c r="D151" s="12">
        <v>22.0</v>
      </c>
      <c r="E151" s="16" t="s">
        <v>166</v>
      </c>
      <c r="F151" s="12">
        <v>4.0</v>
      </c>
      <c r="G151" s="18"/>
      <c r="H151" s="18"/>
      <c r="I151" s="18"/>
      <c r="J151" s="18"/>
      <c r="K151" s="18"/>
      <c r="L151" s="22">
        <f t="shared" si="1"/>
        <v>0</v>
      </c>
      <c r="M151" s="23"/>
      <c r="N151" s="23"/>
      <c r="O151" s="23"/>
      <c r="P151" s="23"/>
      <c r="Q151" s="23"/>
      <c r="R151" s="23"/>
      <c r="S151" s="22">
        <f t="shared" si="2"/>
        <v>0</v>
      </c>
      <c r="T151" s="22">
        <f t="shared" si="3"/>
        <v>0</v>
      </c>
      <c r="U151" s="22">
        <f t="shared" si="4"/>
        <v>0</v>
      </c>
      <c r="V151" s="28"/>
      <c r="W151" s="28"/>
      <c r="X151" s="28"/>
      <c r="Y151" s="29"/>
      <c r="Z151" s="28"/>
    </row>
    <row r="152" ht="18.75" customHeight="1">
      <c r="A152" s="13">
        <v>46420.0</v>
      </c>
      <c r="B152" s="16" t="s">
        <v>328</v>
      </c>
      <c r="C152" s="16" t="s">
        <v>72</v>
      </c>
      <c r="D152" s="12">
        <v>22.0</v>
      </c>
      <c r="E152" s="16" t="s">
        <v>166</v>
      </c>
      <c r="F152" s="12">
        <v>4.0</v>
      </c>
      <c r="G152" s="18"/>
      <c r="H152" s="18"/>
      <c r="I152" s="18"/>
      <c r="J152" s="18"/>
      <c r="K152" s="18"/>
      <c r="L152" s="22">
        <f t="shared" si="1"/>
        <v>0</v>
      </c>
      <c r="M152" s="23"/>
      <c r="N152" s="23"/>
      <c r="O152" s="23"/>
      <c r="P152" s="23"/>
      <c r="Q152" s="23"/>
      <c r="R152" s="23"/>
      <c r="S152" s="22">
        <f t="shared" si="2"/>
        <v>0</v>
      </c>
      <c r="T152" s="22">
        <f t="shared" si="3"/>
        <v>0</v>
      </c>
      <c r="U152" s="22">
        <f t="shared" si="4"/>
        <v>0</v>
      </c>
      <c r="V152" s="28"/>
      <c r="W152" s="28"/>
      <c r="X152" s="28"/>
      <c r="Y152" s="29"/>
      <c r="Z152" s="28"/>
    </row>
    <row r="153" ht="18.75" customHeight="1">
      <c r="A153" s="13">
        <v>46421.0</v>
      </c>
      <c r="B153" s="16" t="s">
        <v>329</v>
      </c>
      <c r="C153" s="16" t="s">
        <v>78</v>
      </c>
      <c r="D153" s="12">
        <v>22.0</v>
      </c>
      <c r="E153" s="16" t="s">
        <v>166</v>
      </c>
      <c r="F153" s="12">
        <v>4.0</v>
      </c>
      <c r="G153" s="18"/>
      <c r="H153" s="18"/>
      <c r="I153" s="18"/>
      <c r="J153" s="18"/>
      <c r="K153" s="18"/>
      <c r="L153" s="22">
        <f t="shared" si="1"/>
        <v>0</v>
      </c>
      <c r="M153" s="23"/>
      <c r="N153" s="23"/>
      <c r="O153" s="23"/>
      <c r="P153" s="23"/>
      <c r="Q153" s="23"/>
      <c r="R153" s="23"/>
      <c r="S153" s="22">
        <f t="shared" si="2"/>
        <v>0</v>
      </c>
      <c r="T153" s="22">
        <f t="shared" si="3"/>
        <v>0</v>
      </c>
      <c r="U153" s="22">
        <f t="shared" si="4"/>
        <v>0</v>
      </c>
      <c r="V153" s="28"/>
      <c r="W153" s="28"/>
      <c r="X153" s="28"/>
      <c r="Y153" s="29"/>
      <c r="Z153" s="28"/>
    </row>
    <row r="154" ht="18.75" customHeight="1">
      <c r="A154" s="13">
        <v>46422.0</v>
      </c>
      <c r="B154" s="16" t="s">
        <v>330</v>
      </c>
      <c r="C154" s="16" t="s">
        <v>86</v>
      </c>
      <c r="D154" s="12">
        <v>22.0</v>
      </c>
      <c r="E154" s="16" t="s">
        <v>166</v>
      </c>
      <c r="F154" s="12">
        <v>4.0</v>
      </c>
      <c r="G154" s="18"/>
      <c r="H154" s="18"/>
      <c r="I154" s="18"/>
      <c r="J154" s="18"/>
      <c r="K154" s="18"/>
      <c r="L154" s="22">
        <f t="shared" si="1"/>
        <v>0</v>
      </c>
      <c r="M154" s="23"/>
      <c r="N154" s="23"/>
      <c r="O154" s="23"/>
      <c r="P154" s="23"/>
      <c r="Q154" s="23"/>
      <c r="R154" s="23"/>
      <c r="S154" s="22">
        <f t="shared" si="2"/>
        <v>0</v>
      </c>
      <c r="T154" s="22">
        <f t="shared" si="3"/>
        <v>0</v>
      </c>
      <c r="U154" s="22">
        <f t="shared" si="4"/>
        <v>0</v>
      </c>
      <c r="V154" s="28"/>
      <c r="W154" s="28"/>
      <c r="X154" s="28"/>
      <c r="Y154" s="29"/>
      <c r="Z154" s="28"/>
    </row>
    <row r="155" ht="18.75" customHeight="1">
      <c r="A155" s="32">
        <v>46423.0</v>
      </c>
      <c r="B155" s="33" t="s">
        <v>331</v>
      </c>
      <c r="C155" s="33" t="s">
        <v>93</v>
      </c>
      <c r="D155" s="34">
        <v>22.0</v>
      </c>
      <c r="E155" s="33" t="s">
        <v>166</v>
      </c>
      <c r="F155" s="34">
        <v>4.0</v>
      </c>
      <c r="G155" s="18"/>
      <c r="H155" s="18"/>
      <c r="I155" s="18"/>
      <c r="J155" s="18"/>
      <c r="K155" s="18"/>
      <c r="L155" s="22">
        <f t="shared" si="1"/>
        <v>0</v>
      </c>
      <c r="M155" s="23"/>
      <c r="N155" s="23"/>
      <c r="O155" s="23"/>
      <c r="P155" s="23"/>
      <c r="Q155" s="23"/>
      <c r="R155" s="23"/>
      <c r="S155" s="22">
        <f t="shared" si="2"/>
        <v>0</v>
      </c>
      <c r="T155" s="22">
        <f t="shared" si="3"/>
        <v>0</v>
      </c>
      <c r="U155" s="22">
        <f t="shared" si="4"/>
        <v>0</v>
      </c>
      <c r="V155" s="28"/>
      <c r="W155" s="28"/>
      <c r="X155" s="28"/>
      <c r="Y155" s="29"/>
      <c r="Z155" s="28"/>
    </row>
    <row r="156" ht="18.75" customHeight="1">
      <c r="A156" s="13">
        <v>46424.0</v>
      </c>
      <c r="B156" s="16" t="s">
        <v>332</v>
      </c>
      <c r="C156" s="16" t="s">
        <v>98</v>
      </c>
      <c r="D156" s="12">
        <v>22.0</v>
      </c>
      <c r="E156" s="16" t="s">
        <v>166</v>
      </c>
      <c r="F156" s="12">
        <v>4.0</v>
      </c>
      <c r="G156" s="18"/>
      <c r="H156" s="18"/>
      <c r="I156" s="18"/>
      <c r="J156" s="18"/>
      <c r="K156" s="18"/>
      <c r="L156" s="22">
        <f t="shared" si="1"/>
        <v>0</v>
      </c>
      <c r="M156" s="23"/>
      <c r="N156" s="23"/>
      <c r="O156" s="23"/>
      <c r="P156" s="23"/>
      <c r="Q156" s="23"/>
      <c r="R156" s="23"/>
      <c r="S156" s="22">
        <f t="shared" si="2"/>
        <v>0</v>
      </c>
      <c r="T156" s="22">
        <f t="shared" si="3"/>
        <v>0</v>
      </c>
      <c r="U156" s="22">
        <f t="shared" si="4"/>
        <v>0</v>
      </c>
      <c r="V156" s="28"/>
      <c r="W156" s="28"/>
      <c r="X156" s="28"/>
      <c r="Y156" s="29"/>
      <c r="Z156" s="28"/>
    </row>
    <row r="157" ht="18.75" customHeight="1">
      <c r="A157" s="13">
        <v>46425.0</v>
      </c>
      <c r="B157" s="16" t="s">
        <v>333</v>
      </c>
      <c r="C157" s="16" t="s">
        <v>58</v>
      </c>
      <c r="D157" s="12">
        <v>23.0</v>
      </c>
      <c r="E157" s="16" t="s">
        <v>166</v>
      </c>
      <c r="F157" s="12">
        <v>4.0</v>
      </c>
      <c r="G157" s="18"/>
      <c r="H157" s="18"/>
      <c r="I157" s="18"/>
      <c r="J157" s="18"/>
      <c r="K157" s="18"/>
      <c r="L157" s="22">
        <f t="shared" si="1"/>
        <v>0</v>
      </c>
      <c r="M157" s="23"/>
      <c r="N157" s="23"/>
      <c r="O157" s="23"/>
      <c r="P157" s="23"/>
      <c r="Q157" s="23"/>
      <c r="R157" s="23"/>
      <c r="S157" s="22">
        <f t="shared" si="2"/>
        <v>0</v>
      </c>
      <c r="T157" s="22">
        <f t="shared" si="3"/>
        <v>0</v>
      </c>
      <c r="U157" s="22">
        <f t="shared" si="4"/>
        <v>0</v>
      </c>
      <c r="V157" s="28"/>
      <c r="W157" s="28"/>
      <c r="X157" s="28"/>
      <c r="Y157" s="29"/>
      <c r="Z157" s="28"/>
    </row>
    <row r="158" ht="18.75" customHeight="1">
      <c r="A158" s="13">
        <v>46426.0</v>
      </c>
      <c r="B158" s="16" t="s">
        <v>334</v>
      </c>
      <c r="C158" s="16" t="s">
        <v>66</v>
      </c>
      <c r="D158" s="12">
        <v>23.0</v>
      </c>
      <c r="E158" s="16" t="s">
        <v>166</v>
      </c>
      <c r="F158" s="12">
        <v>4.0</v>
      </c>
      <c r="G158" s="18"/>
      <c r="H158" s="18"/>
      <c r="I158" s="18"/>
      <c r="J158" s="18"/>
      <c r="K158" s="18"/>
      <c r="L158" s="22">
        <f t="shared" si="1"/>
        <v>0</v>
      </c>
      <c r="M158" s="23"/>
      <c r="N158" s="23"/>
      <c r="O158" s="23"/>
      <c r="P158" s="23"/>
      <c r="Q158" s="23"/>
      <c r="R158" s="23"/>
      <c r="S158" s="22">
        <f t="shared" si="2"/>
        <v>0</v>
      </c>
      <c r="T158" s="22">
        <f t="shared" si="3"/>
        <v>0</v>
      </c>
      <c r="U158" s="22">
        <f t="shared" si="4"/>
        <v>0</v>
      </c>
      <c r="V158" s="28"/>
      <c r="W158" s="28"/>
      <c r="X158" s="28"/>
      <c r="Y158" s="29"/>
      <c r="Z158" s="28"/>
    </row>
    <row r="159" ht="18.75" customHeight="1">
      <c r="A159" s="13">
        <v>46427.0</v>
      </c>
      <c r="B159" s="16" t="s">
        <v>335</v>
      </c>
      <c r="C159" s="16" t="s">
        <v>72</v>
      </c>
      <c r="D159" s="12">
        <v>23.0</v>
      </c>
      <c r="E159" s="16" t="s">
        <v>166</v>
      </c>
      <c r="F159" s="12">
        <v>4.0</v>
      </c>
      <c r="G159" s="18"/>
      <c r="H159" s="18"/>
      <c r="I159" s="18"/>
      <c r="J159" s="18"/>
      <c r="K159" s="18"/>
      <c r="L159" s="22">
        <f t="shared" si="1"/>
        <v>0</v>
      </c>
      <c r="M159" s="23"/>
      <c r="N159" s="23"/>
      <c r="O159" s="23"/>
      <c r="P159" s="23"/>
      <c r="Q159" s="23"/>
      <c r="R159" s="23"/>
      <c r="S159" s="22">
        <f t="shared" si="2"/>
        <v>0</v>
      </c>
      <c r="T159" s="22">
        <f t="shared" si="3"/>
        <v>0</v>
      </c>
      <c r="U159" s="22">
        <f t="shared" si="4"/>
        <v>0</v>
      </c>
      <c r="V159" s="28"/>
      <c r="W159" s="28"/>
      <c r="X159" s="28"/>
      <c r="Y159" s="29"/>
      <c r="Z159" s="28"/>
    </row>
    <row r="160" ht="18.75" customHeight="1">
      <c r="A160" s="13">
        <v>46428.0</v>
      </c>
      <c r="B160" s="16" t="s">
        <v>336</v>
      </c>
      <c r="C160" s="16" t="s">
        <v>78</v>
      </c>
      <c r="D160" s="12">
        <v>23.0</v>
      </c>
      <c r="E160" s="16" t="s">
        <v>166</v>
      </c>
      <c r="F160" s="12">
        <v>4.0</v>
      </c>
      <c r="G160" s="18"/>
      <c r="H160" s="18"/>
      <c r="I160" s="18"/>
      <c r="J160" s="18"/>
      <c r="K160" s="18"/>
      <c r="L160" s="22">
        <f t="shared" si="1"/>
        <v>0</v>
      </c>
      <c r="M160" s="23"/>
      <c r="N160" s="23"/>
      <c r="O160" s="23"/>
      <c r="P160" s="23"/>
      <c r="Q160" s="23"/>
      <c r="R160" s="23"/>
      <c r="S160" s="22">
        <f t="shared" si="2"/>
        <v>0</v>
      </c>
      <c r="T160" s="22">
        <f t="shared" si="3"/>
        <v>0</v>
      </c>
      <c r="U160" s="22">
        <f t="shared" si="4"/>
        <v>0</v>
      </c>
      <c r="V160" s="28"/>
      <c r="W160" s="28"/>
      <c r="X160" s="28"/>
      <c r="Y160" s="29"/>
      <c r="Z160" s="28"/>
    </row>
    <row r="161" ht="18.75" customHeight="1">
      <c r="A161" s="13">
        <v>46429.0</v>
      </c>
      <c r="B161" s="16" t="s">
        <v>337</v>
      </c>
      <c r="C161" s="16" t="s">
        <v>86</v>
      </c>
      <c r="D161" s="12">
        <v>23.0</v>
      </c>
      <c r="E161" s="16" t="s">
        <v>166</v>
      </c>
      <c r="F161" s="12">
        <v>4.0</v>
      </c>
      <c r="G161" s="18"/>
      <c r="H161" s="18"/>
      <c r="I161" s="18"/>
      <c r="J161" s="18"/>
      <c r="K161" s="18"/>
      <c r="L161" s="22">
        <f t="shared" si="1"/>
        <v>0</v>
      </c>
      <c r="M161" s="23"/>
      <c r="N161" s="23"/>
      <c r="O161" s="23"/>
      <c r="P161" s="23"/>
      <c r="Q161" s="23"/>
      <c r="R161" s="23"/>
      <c r="S161" s="22">
        <f t="shared" si="2"/>
        <v>0</v>
      </c>
      <c r="T161" s="22">
        <f t="shared" si="3"/>
        <v>0</v>
      </c>
      <c r="U161" s="22">
        <f t="shared" si="4"/>
        <v>0</v>
      </c>
      <c r="V161" s="28"/>
      <c r="W161" s="28"/>
      <c r="X161" s="28"/>
      <c r="Y161" s="29"/>
      <c r="Z161" s="28"/>
    </row>
    <row r="162" ht="18.75" customHeight="1">
      <c r="A162" s="32">
        <v>46430.0</v>
      </c>
      <c r="B162" s="33" t="s">
        <v>338</v>
      </c>
      <c r="C162" s="33" t="s">
        <v>93</v>
      </c>
      <c r="D162" s="34">
        <v>23.0</v>
      </c>
      <c r="E162" s="33" t="s">
        <v>166</v>
      </c>
      <c r="F162" s="34">
        <v>4.0</v>
      </c>
      <c r="G162" s="18"/>
      <c r="H162" s="18"/>
      <c r="I162" s="18"/>
      <c r="J162" s="18"/>
      <c r="K162" s="18"/>
      <c r="L162" s="22">
        <f t="shared" si="1"/>
        <v>0</v>
      </c>
      <c r="M162" s="23"/>
      <c r="N162" s="23"/>
      <c r="O162" s="23"/>
      <c r="P162" s="23"/>
      <c r="Q162" s="23"/>
      <c r="R162" s="23"/>
      <c r="S162" s="22">
        <f t="shared" si="2"/>
        <v>0</v>
      </c>
      <c r="T162" s="22">
        <f t="shared" si="3"/>
        <v>0</v>
      </c>
      <c r="U162" s="22">
        <f t="shared" si="4"/>
        <v>0</v>
      </c>
      <c r="V162" s="28"/>
      <c r="W162" s="28"/>
      <c r="X162" s="28"/>
      <c r="Y162" s="29"/>
      <c r="Z162" s="28"/>
    </row>
    <row r="163" ht="18.75" customHeight="1">
      <c r="A163" s="13">
        <v>46431.0</v>
      </c>
      <c r="B163" s="16" t="s">
        <v>339</v>
      </c>
      <c r="C163" s="16" t="s">
        <v>98</v>
      </c>
      <c r="D163" s="12">
        <v>23.0</v>
      </c>
      <c r="E163" s="16" t="s">
        <v>166</v>
      </c>
      <c r="F163" s="12">
        <v>4.0</v>
      </c>
      <c r="G163" s="18"/>
      <c r="H163" s="18"/>
      <c r="I163" s="18"/>
      <c r="J163" s="18"/>
      <c r="K163" s="18"/>
      <c r="L163" s="22">
        <f t="shared" si="1"/>
        <v>0</v>
      </c>
      <c r="M163" s="23"/>
      <c r="N163" s="23"/>
      <c r="O163" s="23"/>
      <c r="P163" s="23"/>
      <c r="Q163" s="23"/>
      <c r="R163" s="23"/>
      <c r="S163" s="22">
        <f t="shared" si="2"/>
        <v>0</v>
      </c>
      <c r="T163" s="22">
        <f t="shared" si="3"/>
        <v>0</v>
      </c>
      <c r="U163" s="22">
        <f t="shared" si="4"/>
        <v>0</v>
      </c>
      <c r="V163" s="28"/>
      <c r="W163" s="28"/>
      <c r="X163" s="28"/>
      <c r="Y163" s="29"/>
      <c r="Z163" s="28"/>
    </row>
    <row r="164" ht="18.75" customHeight="1">
      <c r="A164" s="13">
        <v>46432.0</v>
      </c>
      <c r="B164" s="16" t="s">
        <v>340</v>
      </c>
      <c r="C164" s="16" t="s">
        <v>58</v>
      </c>
      <c r="D164" s="12">
        <v>24.0</v>
      </c>
      <c r="E164" s="16" t="s">
        <v>166</v>
      </c>
      <c r="F164" s="12">
        <v>4.0</v>
      </c>
      <c r="G164" s="18"/>
      <c r="H164" s="18"/>
      <c r="I164" s="18"/>
      <c r="J164" s="18"/>
      <c r="K164" s="18"/>
      <c r="L164" s="22">
        <f t="shared" si="1"/>
        <v>0</v>
      </c>
      <c r="M164" s="23"/>
      <c r="N164" s="23"/>
      <c r="O164" s="23"/>
      <c r="P164" s="23"/>
      <c r="Q164" s="23"/>
      <c r="R164" s="23"/>
      <c r="S164" s="22">
        <f t="shared" si="2"/>
        <v>0</v>
      </c>
      <c r="T164" s="22">
        <f t="shared" si="3"/>
        <v>0</v>
      </c>
      <c r="U164" s="22">
        <f t="shared" si="4"/>
        <v>0</v>
      </c>
      <c r="V164" s="28"/>
      <c r="W164" s="28"/>
      <c r="X164" s="28"/>
      <c r="Y164" s="29"/>
      <c r="Z164" s="28"/>
    </row>
    <row r="165" ht="18.75" customHeight="1">
      <c r="A165" s="13">
        <v>46433.0</v>
      </c>
      <c r="B165" s="16" t="s">
        <v>341</v>
      </c>
      <c r="C165" s="16" t="s">
        <v>66</v>
      </c>
      <c r="D165" s="12">
        <v>24.0</v>
      </c>
      <c r="E165" s="16" t="s">
        <v>166</v>
      </c>
      <c r="F165" s="12">
        <v>4.0</v>
      </c>
      <c r="G165" s="18"/>
      <c r="H165" s="18"/>
      <c r="I165" s="18"/>
      <c r="J165" s="18"/>
      <c r="K165" s="18"/>
      <c r="L165" s="22">
        <f t="shared" si="1"/>
        <v>0</v>
      </c>
      <c r="M165" s="23"/>
      <c r="N165" s="23"/>
      <c r="O165" s="23"/>
      <c r="P165" s="23"/>
      <c r="Q165" s="23"/>
      <c r="R165" s="23"/>
      <c r="S165" s="22">
        <f t="shared" si="2"/>
        <v>0</v>
      </c>
      <c r="T165" s="22">
        <f t="shared" si="3"/>
        <v>0</v>
      </c>
      <c r="U165" s="22">
        <f t="shared" si="4"/>
        <v>0</v>
      </c>
      <c r="V165" s="28"/>
      <c r="W165" s="28"/>
      <c r="X165" s="28"/>
      <c r="Y165" s="29"/>
      <c r="Z165" s="28"/>
    </row>
    <row r="166" ht="18.75" customHeight="1">
      <c r="A166" s="13">
        <v>46434.0</v>
      </c>
      <c r="B166" s="16" t="s">
        <v>342</v>
      </c>
      <c r="C166" s="16" t="s">
        <v>72</v>
      </c>
      <c r="D166" s="12">
        <v>24.0</v>
      </c>
      <c r="E166" s="16" t="s">
        <v>166</v>
      </c>
      <c r="F166" s="12">
        <v>4.0</v>
      </c>
      <c r="G166" s="18"/>
      <c r="H166" s="18"/>
      <c r="I166" s="18"/>
      <c r="J166" s="18"/>
      <c r="K166" s="18"/>
      <c r="L166" s="22">
        <f t="shared" si="1"/>
        <v>0</v>
      </c>
      <c r="M166" s="23"/>
      <c r="N166" s="23"/>
      <c r="O166" s="23"/>
      <c r="P166" s="23"/>
      <c r="Q166" s="23"/>
      <c r="R166" s="23"/>
      <c r="S166" s="22">
        <f t="shared" si="2"/>
        <v>0</v>
      </c>
      <c r="T166" s="22">
        <f t="shared" si="3"/>
        <v>0</v>
      </c>
      <c r="U166" s="22">
        <f t="shared" si="4"/>
        <v>0</v>
      </c>
      <c r="V166" s="28"/>
      <c r="W166" s="28"/>
      <c r="X166" s="28"/>
      <c r="Y166" s="29"/>
      <c r="Z166" s="28"/>
    </row>
    <row r="167" ht="18.75" customHeight="1">
      <c r="A167" s="13">
        <v>46435.0</v>
      </c>
      <c r="B167" s="16" t="s">
        <v>343</v>
      </c>
      <c r="C167" s="16" t="s">
        <v>78</v>
      </c>
      <c r="D167" s="12">
        <v>24.0</v>
      </c>
      <c r="E167" s="16" t="s">
        <v>166</v>
      </c>
      <c r="F167" s="12">
        <v>4.0</v>
      </c>
      <c r="G167" s="18"/>
      <c r="H167" s="18"/>
      <c r="I167" s="18"/>
      <c r="J167" s="18"/>
      <c r="K167" s="18"/>
      <c r="L167" s="22">
        <f t="shared" si="1"/>
        <v>0</v>
      </c>
      <c r="M167" s="23"/>
      <c r="N167" s="23"/>
      <c r="O167" s="23"/>
      <c r="P167" s="23"/>
      <c r="Q167" s="23"/>
      <c r="R167" s="23"/>
      <c r="S167" s="22">
        <f t="shared" si="2"/>
        <v>0</v>
      </c>
      <c r="T167" s="22">
        <f t="shared" si="3"/>
        <v>0</v>
      </c>
      <c r="U167" s="22">
        <f t="shared" si="4"/>
        <v>0</v>
      </c>
      <c r="V167" s="28"/>
      <c r="W167" s="28"/>
      <c r="X167" s="28"/>
      <c r="Y167" s="29"/>
      <c r="Z167" s="28"/>
    </row>
    <row r="168" ht="18.75" customHeight="1">
      <c r="A168" s="13">
        <v>46436.0</v>
      </c>
      <c r="B168" s="16" t="s">
        <v>344</v>
      </c>
      <c r="C168" s="16" t="s">
        <v>86</v>
      </c>
      <c r="D168" s="12">
        <v>24.0</v>
      </c>
      <c r="E168" s="16" t="s">
        <v>166</v>
      </c>
      <c r="F168" s="12">
        <v>4.0</v>
      </c>
      <c r="G168" s="18"/>
      <c r="H168" s="18"/>
      <c r="I168" s="18"/>
      <c r="J168" s="18"/>
      <c r="K168" s="18"/>
      <c r="L168" s="22">
        <f t="shared" si="1"/>
        <v>0</v>
      </c>
      <c r="M168" s="23"/>
      <c r="N168" s="23"/>
      <c r="O168" s="23"/>
      <c r="P168" s="23"/>
      <c r="Q168" s="23"/>
      <c r="R168" s="23"/>
      <c r="S168" s="22">
        <f t="shared" si="2"/>
        <v>0</v>
      </c>
      <c r="T168" s="22">
        <f t="shared" si="3"/>
        <v>0</v>
      </c>
      <c r="U168" s="22">
        <f t="shared" si="4"/>
        <v>0</v>
      </c>
      <c r="V168" s="28"/>
      <c r="W168" s="28"/>
      <c r="X168" s="28"/>
      <c r="Y168" s="29"/>
      <c r="Z168" s="28"/>
    </row>
    <row r="169" ht="18.75" customHeight="1">
      <c r="A169" s="32">
        <v>46437.0</v>
      </c>
      <c r="B169" s="33" t="s">
        <v>345</v>
      </c>
      <c r="C169" s="33" t="s">
        <v>93</v>
      </c>
      <c r="D169" s="34">
        <v>24.0</v>
      </c>
      <c r="E169" s="33" t="s">
        <v>166</v>
      </c>
      <c r="F169" s="34">
        <v>4.0</v>
      </c>
      <c r="G169" s="18"/>
      <c r="H169" s="18"/>
      <c r="I169" s="18"/>
      <c r="J169" s="18"/>
      <c r="K169" s="18"/>
      <c r="L169" s="22">
        <f t="shared" si="1"/>
        <v>0</v>
      </c>
      <c r="M169" s="23"/>
      <c r="N169" s="23"/>
      <c r="O169" s="23"/>
      <c r="P169" s="23"/>
      <c r="Q169" s="23"/>
      <c r="R169" s="23"/>
      <c r="S169" s="22">
        <f t="shared" si="2"/>
        <v>0</v>
      </c>
      <c r="T169" s="22">
        <f t="shared" si="3"/>
        <v>0</v>
      </c>
      <c r="U169" s="22">
        <f t="shared" si="4"/>
        <v>0</v>
      </c>
      <c r="V169" s="28"/>
      <c r="W169" s="28"/>
      <c r="X169" s="28"/>
      <c r="Y169" s="29"/>
      <c r="Z169" s="28"/>
    </row>
    <row r="170" ht="18.75" customHeight="1">
      <c r="A170" s="13">
        <v>46438.0</v>
      </c>
      <c r="B170" s="16" t="s">
        <v>346</v>
      </c>
      <c r="C170" s="16" t="s">
        <v>98</v>
      </c>
      <c r="D170" s="12">
        <v>24.0</v>
      </c>
      <c r="E170" s="16" t="s">
        <v>173</v>
      </c>
      <c r="F170" s="12">
        <v>4.0</v>
      </c>
      <c r="G170" s="18"/>
      <c r="H170" s="18"/>
      <c r="I170" s="18"/>
      <c r="J170" s="18"/>
      <c r="K170" s="18"/>
      <c r="L170" s="22">
        <f t="shared" si="1"/>
        <v>0</v>
      </c>
      <c r="M170" s="23"/>
      <c r="N170" s="23"/>
      <c r="O170" s="23"/>
      <c r="P170" s="23"/>
      <c r="Q170" s="23"/>
      <c r="R170" s="23"/>
      <c r="S170" s="22">
        <f t="shared" si="2"/>
        <v>0</v>
      </c>
      <c r="T170" s="22">
        <f t="shared" si="3"/>
        <v>0</v>
      </c>
      <c r="U170" s="22">
        <f t="shared" si="4"/>
        <v>0</v>
      </c>
      <c r="V170" s="28"/>
      <c r="W170" s="28"/>
      <c r="X170" s="28"/>
      <c r="Y170" s="29"/>
      <c r="Z170" s="28"/>
    </row>
    <row r="171" ht="18.75" customHeight="1">
      <c r="A171" s="13">
        <v>46439.0</v>
      </c>
      <c r="B171" s="16" t="s">
        <v>347</v>
      </c>
      <c r="C171" s="16" t="s">
        <v>58</v>
      </c>
      <c r="D171" s="12">
        <v>25.0</v>
      </c>
      <c r="E171" s="16" t="s">
        <v>173</v>
      </c>
      <c r="F171" s="12">
        <v>4.0</v>
      </c>
      <c r="G171" s="18"/>
      <c r="H171" s="18"/>
      <c r="I171" s="18"/>
      <c r="J171" s="18"/>
      <c r="K171" s="18"/>
      <c r="L171" s="22">
        <f t="shared" si="1"/>
        <v>0</v>
      </c>
      <c r="M171" s="23"/>
      <c r="N171" s="23"/>
      <c r="O171" s="23"/>
      <c r="P171" s="23"/>
      <c r="Q171" s="23"/>
      <c r="R171" s="23"/>
      <c r="S171" s="22">
        <f t="shared" si="2"/>
        <v>0</v>
      </c>
      <c r="T171" s="22">
        <f t="shared" si="3"/>
        <v>0</v>
      </c>
      <c r="U171" s="22">
        <f t="shared" si="4"/>
        <v>0</v>
      </c>
      <c r="V171" s="28"/>
      <c r="W171" s="28"/>
      <c r="X171" s="28"/>
      <c r="Y171" s="29"/>
      <c r="Z171" s="28"/>
    </row>
    <row r="172" ht="18.75" customHeight="1">
      <c r="A172" s="13">
        <v>46440.0</v>
      </c>
      <c r="B172" s="16" t="s">
        <v>348</v>
      </c>
      <c r="C172" s="16" t="s">
        <v>66</v>
      </c>
      <c r="D172" s="12">
        <v>25.0</v>
      </c>
      <c r="E172" s="16" t="s">
        <v>173</v>
      </c>
      <c r="F172" s="12">
        <v>4.0</v>
      </c>
      <c r="G172" s="18"/>
      <c r="H172" s="18"/>
      <c r="I172" s="18"/>
      <c r="J172" s="18"/>
      <c r="K172" s="18"/>
      <c r="L172" s="22">
        <f t="shared" si="1"/>
        <v>0</v>
      </c>
      <c r="M172" s="23"/>
      <c r="N172" s="23"/>
      <c r="O172" s="23"/>
      <c r="P172" s="23"/>
      <c r="Q172" s="23"/>
      <c r="R172" s="23"/>
      <c r="S172" s="22">
        <f t="shared" si="2"/>
        <v>0</v>
      </c>
      <c r="T172" s="22">
        <f t="shared" si="3"/>
        <v>0</v>
      </c>
      <c r="U172" s="22">
        <f t="shared" si="4"/>
        <v>0</v>
      </c>
      <c r="V172" s="28"/>
      <c r="W172" s="28"/>
      <c r="X172" s="28"/>
      <c r="Y172" s="29"/>
      <c r="Z172" s="28"/>
    </row>
    <row r="173" ht="18.75" customHeight="1">
      <c r="A173" s="13">
        <v>46441.0</v>
      </c>
      <c r="B173" s="16" t="s">
        <v>349</v>
      </c>
      <c r="C173" s="16" t="s">
        <v>72</v>
      </c>
      <c r="D173" s="12">
        <v>25.0</v>
      </c>
      <c r="E173" s="16" t="s">
        <v>173</v>
      </c>
      <c r="F173" s="12">
        <v>4.0</v>
      </c>
      <c r="G173" s="18"/>
      <c r="H173" s="18"/>
      <c r="I173" s="18"/>
      <c r="J173" s="18"/>
      <c r="K173" s="18"/>
      <c r="L173" s="22">
        <f t="shared" si="1"/>
        <v>0</v>
      </c>
      <c r="M173" s="23"/>
      <c r="N173" s="23"/>
      <c r="O173" s="23"/>
      <c r="P173" s="23"/>
      <c r="Q173" s="23"/>
      <c r="R173" s="23"/>
      <c r="S173" s="22">
        <f t="shared" si="2"/>
        <v>0</v>
      </c>
      <c r="T173" s="22">
        <f t="shared" si="3"/>
        <v>0</v>
      </c>
      <c r="U173" s="22">
        <f t="shared" si="4"/>
        <v>0</v>
      </c>
      <c r="V173" s="28"/>
      <c r="W173" s="28"/>
      <c r="X173" s="28"/>
      <c r="Y173" s="29"/>
      <c r="Z173" s="28"/>
    </row>
    <row r="174" ht="18.75" customHeight="1">
      <c r="A174" s="13">
        <v>46442.0</v>
      </c>
      <c r="B174" s="16" t="s">
        <v>350</v>
      </c>
      <c r="C174" s="16" t="s">
        <v>78</v>
      </c>
      <c r="D174" s="12">
        <v>25.0</v>
      </c>
      <c r="E174" s="16" t="s">
        <v>173</v>
      </c>
      <c r="F174" s="12">
        <v>4.0</v>
      </c>
      <c r="G174" s="18"/>
      <c r="H174" s="18"/>
      <c r="I174" s="18"/>
      <c r="J174" s="18"/>
      <c r="K174" s="18"/>
      <c r="L174" s="22">
        <f t="shared" si="1"/>
        <v>0</v>
      </c>
      <c r="M174" s="23"/>
      <c r="N174" s="23"/>
      <c r="O174" s="23"/>
      <c r="P174" s="23"/>
      <c r="Q174" s="23"/>
      <c r="R174" s="23"/>
      <c r="S174" s="22">
        <f t="shared" si="2"/>
        <v>0</v>
      </c>
      <c r="T174" s="22">
        <f t="shared" si="3"/>
        <v>0</v>
      </c>
      <c r="U174" s="22">
        <f t="shared" si="4"/>
        <v>0</v>
      </c>
      <c r="V174" s="28"/>
      <c r="W174" s="28"/>
      <c r="X174" s="28"/>
      <c r="Y174" s="29"/>
      <c r="Z174" s="28"/>
    </row>
    <row r="175" ht="18.75" customHeight="1">
      <c r="A175" s="13">
        <v>46443.0</v>
      </c>
      <c r="B175" s="16" t="s">
        <v>351</v>
      </c>
      <c r="C175" s="16" t="s">
        <v>86</v>
      </c>
      <c r="D175" s="12">
        <v>25.0</v>
      </c>
      <c r="E175" s="16" t="s">
        <v>173</v>
      </c>
      <c r="F175" s="12">
        <v>4.0</v>
      </c>
      <c r="G175" s="18"/>
      <c r="H175" s="18"/>
      <c r="I175" s="18"/>
      <c r="J175" s="18"/>
      <c r="K175" s="18"/>
      <c r="L175" s="22">
        <f t="shared" si="1"/>
        <v>0</v>
      </c>
      <c r="M175" s="23"/>
      <c r="N175" s="23"/>
      <c r="O175" s="23"/>
      <c r="P175" s="23"/>
      <c r="Q175" s="23"/>
      <c r="R175" s="23"/>
      <c r="S175" s="22">
        <f t="shared" si="2"/>
        <v>0</v>
      </c>
      <c r="T175" s="22">
        <f t="shared" si="3"/>
        <v>0</v>
      </c>
      <c r="U175" s="22">
        <f t="shared" si="4"/>
        <v>0</v>
      </c>
      <c r="V175" s="28"/>
      <c r="W175" s="28"/>
      <c r="X175" s="28"/>
      <c r="Y175" s="29"/>
      <c r="Z175" s="28"/>
    </row>
    <row r="176" ht="18.75" customHeight="1">
      <c r="A176" s="32">
        <v>46444.0</v>
      </c>
      <c r="B176" s="33" t="s">
        <v>352</v>
      </c>
      <c r="C176" s="33" t="s">
        <v>93</v>
      </c>
      <c r="D176" s="34">
        <v>25.0</v>
      </c>
      <c r="E176" s="33" t="s">
        <v>173</v>
      </c>
      <c r="F176" s="34">
        <v>4.0</v>
      </c>
      <c r="G176" s="18"/>
      <c r="H176" s="18"/>
      <c r="I176" s="18"/>
      <c r="J176" s="18"/>
      <c r="K176" s="18"/>
      <c r="L176" s="22">
        <f t="shared" si="1"/>
        <v>0</v>
      </c>
      <c r="M176" s="23"/>
      <c r="N176" s="23"/>
      <c r="O176" s="23"/>
      <c r="P176" s="23"/>
      <c r="Q176" s="23"/>
      <c r="R176" s="23"/>
      <c r="S176" s="22">
        <f t="shared" si="2"/>
        <v>0</v>
      </c>
      <c r="T176" s="22">
        <f t="shared" si="3"/>
        <v>0</v>
      </c>
      <c r="U176" s="22">
        <f t="shared" si="4"/>
        <v>0</v>
      </c>
      <c r="V176" s="28"/>
      <c r="W176" s="28"/>
      <c r="X176" s="28"/>
      <c r="Y176" s="29"/>
      <c r="Z176" s="28"/>
    </row>
    <row r="177" ht="18.75" customHeight="1">
      <c r="A177" s="13">
        <v>46445.0</v>
      </c>
      <c r="B177" s="16" t="s">
        <v>353</v>
      </c>
      <c r="C177" s="16" t="s">
        <v>98</v>
      </c>
      <c r="D177" s="12">
        <v>25.0</v>
      </c>
      <c r="E177" s="16" t="s">
        <v>173</v>
      </c>
      <c r="F177" s="12">
        <v>4.0</v>
      </c>
      <c r="G177" s="18"/>
      <c r="H177" s="18"/>
      <c r="I177" s="18"/>
      <c r="J177" s="18"/>
      <c r="K177" s="18"/>
      <c r="L177" s="22">
        <f t="shared" si="1"/>
        <v>0</v>
      </c>
      <c r="M177" s="23"/>
      <c r="N177" s="23"/>
      <c r="O177" s="23"/>
      <c r="P177" s="23"/>
      <c r="Q177" s="23"/>
      <c r="R177" s="23"/>
      <c r="S177" s="22">
        <f t="shared" si="2"/>
        <v>0</v>
      </c>
      <c r="T177" s="22">
        <f t="shared" si="3"/>
        <v>0</v>
      </c>
      <c r="U177" s="22">
        <f t="shared" si="4"/>
        <v>0</v>
      </c>
      <c r="V177" s="28"/>
      <c r="W177" s="28"/>
      <c r="X177" s="28"/>
      <c r="Y177" s="29"/>
      <c r="Z177" s="28"/>
    </row>
    <row r="178" ht="18.75" customHeight="1">
      <c r="A178" s="13">
        <v>46446.0</v>
      </c>
      <c r="B178" s="16" t="s">
        <v>354</v>
      </c>
      <c r="C178" s="16" t="s">
        <v>58</v>
      </c>
      <c r="D178" s="12">
        <v>26.0</v>
      </c>
      <c r="E178" s="16" t="s">
        <v>173</v>
      </c>
      <c r="F178" s="12">
        <v>5.0</v>
      </c>
      <c r="G178" s="18"/>
      <c r="H178" s="18"/>
      <c r="I178" s="18"/>
      <c r="J178" s="18"/>
      <c r="K178" s="18"/>
      <c r="L178" s="22">
        <f t="shared" si="1"/>
        <v>0</v>
      </c>
      <c r="M178" s="23"/>
      <c r="N178" s="23"/>
      <c r="O178" s="23"/>
      <c r="P178" s="23"/>
      <c r="Q178" s="23"/>
      <c r="R178" s="23"/>
      <c r="S178" s="22">
        <f t="shared" si="2"/>
        <v>0</v>
      </c>
      <c r="T178" s="22">
        <f t="shared" si="3"/>
        <v>0</v>
      </c>
      <c r="U178" s="22">
        <f t="shared" si="4"/>
        <v>0</v>
      </c>
      <c r="V178" s="28"/>
      <c r="W178" s="28"/>
      <c r="X178" s="28"/>
      <c r="Y178" s="29"/>
      <c r="Z178" s="28"/>
    </row>
    <row r="179" ht="18.75" customHeight="1">
      <c r="A179" s="13">
        <v>46447.0</v>
      </c>
      <c r="B179" s="16" t="s">
        <v>355</v>
      </c>
      <c r="C179" s="16" t="s">
        <v>66</v>
      </c>
      <c r="D179" s="12">
        <v>26.0</v>
      </c>
      <c r="E179" s="16" t="s">
        <v>173</v>
      </c>
      <c r="F179" s="12">
        <v>5.0</v>
      </c>
      <c r="G179" s="18"/>
      <c r="H179" s="18"/>
      <c r="I179" s="18"/>
      <c r="J179" s="18"/>
      <c r="K179" s="18"/>
      <c r="L179" s="22">
        <f t="shared" si="1"/>
        <v>0</v>
      </c>
      <c r="M179" s="23"/>
      <c r="N179" s="23"/>
      <c r="O179" s="23"/>
      <c r="P179" s="23"/>
      <c r="Q179" s="23"/>
      <c r="R179" s="23"/>
      <c r="S179" s="22">
        <f t="shared" si="2"/>
        <v>0</v>
      </c>
      <c r="T179" s="22">
        <f t="shared" si="3"/>
        <v>0</v>
      </c>
      <c r="U179" s="22">
        <f t="shared" si="4"/>
        <v>0</v>
      </c>
      <c r="V179" s="28"/>
      <c r="W179" s="28"/>
      <c r="X179" s="28"/>
      <c r="Y179" s="29"/>
      <c r="Z179" s="28"/>
    </row>
    <row r="180" ht="18.75" customHeight="1">
      <c r="A180" s="13">
        <v>46448.0</v>
      </c>
      <c r="B180" s="16" t="s">
        <v>356</v>
      </c>
      <c r="C180" s="16" t="s">
        <v>72</v>
      </c>
      <c r="D180" s="12">
        <v>26.0</v>
      </c>
      <c r="E180" s="16" t="s">
        <v>173</v>
      </c>
      <c r="F180" s="12">
        <v>5.0</v>
      </c>
      <c r="G180" s="18"/>
      <c r="H180" s="18"/>
      <c r="I180" s="18"/>
      <c r="J180" s="18"/>
      <c r="K180" s="18"/>
      <c r="L180" s="22">
        <f t="shared" si="1"/>
        <v>0</v>
      </c>
      <c r="M180" s="23"/>
      <c r="N180" s="23"/>
      <c r="O180" s="23"/>
      <c r="P180" s="23"/>
      <c r="Q180" s="23"/>
      <c r="R180" s="23"/>
      <c r="S180" s="22">
        <f t="shared" si="2"/>
        <v>0</v>
      </c>
      <c r="T180" s="22">
        <f t="shared" si="3"/>
        <v>0</v>
      </c>
      <c r="U180" s="22">
        <f t="shared" si="4"/>
        <v>0</v>
      </c>
      <c r="V180" s="28"/>
      <c r="W180" s="28"/>
      <c r="X180" s="28"/>
      <c r="Y180" s="29"/>
      <c r="Z180" s="28"/>
    </row>
    <row r="181" ht="18.75" customHeight="1">
      <c r="A181" s="13">
        <v>46449.0</v>
      </c>
      <c r="B181" s="16" t="s">
        <v>357</v>
      </c>
      <c r="C181" s="16" t="s">
        <v>78</v>
      </c>
      <c r="D181" s="12">
        <v>26.0</v>
      </c>
      <c r="E181" s="16" t="s">
        <v>173</v>
      </c>
      <c r="F181" s="12">
        <v>5.0</v>
      </c>
      <c r="G181" s="18"/>
      <c r="H181" s="18"/>
      <c r="I181" s="18"/>
      <c r="J181" s="18"/>
      <c r="K181" s="18"/>
      <c r="L181" s="22">
        <f t="shared" si="1"/>
        <v>0</v>
      </c>
      <c r="M181" s="23"/>
      <c r="N181" s="23"/>
      <c r="O181" s="23"/>
      <c r="P181" s="23"/>
      <c r="Q181" s="23"/>
      <c r="R181" s="23"/>
      <c r="S181" s="22">
        <f t="shared" si="2"/>
        <v>0</v>
      </c>
      <c r="T181" s="22">
        <f t="shared" si="3"/>
        <v>0</v>
      </c>
      <c r="U181" s="22">
        <f t="shared" si="4"/>
        <v>0</v>
      </c>
      <c r="V181" s="28"/>
      <c r="W181" s="28"/>
      <c r="X181" s="28"/>
      <c r="Y181" s="29"/>
      <c r="Z181" s="28"/>
    </row>
    <row r="182" ht="18.75" customHeight="1">
      <c r="A182" s="13">
        <v>46450.0</v>
      </c>
      <c r="B182" s="16" t="s">
        <v>358</v>
      </c>
      <c r="C182" s="16" t="s">
        <v>86</v>
      </c>
      <c r="D182" s="12">
        <v>26.0</v>
      </c>
      <c r="E182" s="16" t="s">
        <v>173</v>
      </c>
      <c r="F182" s="12">
        <v>5.0</v>
      </c>
      <c r="G182" s="18"/>
      <c r="H182" s="18"/>
      <c r="I182" s="18"/>
      <c r="J182" s="18"/>
      <c r="K182" s="18"/>
      <c r="L182" s="22">
        <f t="shared" si="1"/>
        <v>0</v>
      </c>
      <c r="M182" s="23"/>
      <c r="N182" s="23"/>
      <c r="O182" s="23"/>
      <c r="P182" s="23"/>
      <c r="Q182" s="23"/>
      <c r="R182" s="23"/>
      <c r="S182" s="22">
        <f t="shared" si="2"/>
        <v>0</v>
      </c>
      <c r="T182" s="22">
        <f t="shared" si="3"/>
        <v>0</v>
      </c>
      <c r="U182" s="22">
        <f t="shared" si="4"/>
        <v>0</v>
      </c>
      <c r="V182" s="28"/>
      <c r="W182" s="28"/>
      <c r="X182" s="28"/>
      <c r="Y182" s="29"/>
      <c r="Z182" s="28"/>
    </row>
    <row r="183" ht="18.75" customHeight="1">
      <c r="A183" s="32">
        <v>46451.0</v>
      </c>
      <c r="B183" s="33" t="s">
        <v>359</v>
      </c>
      <c r="C183" s="33" t="s">
        <v>93</v>
      </c>
      <c r="D183" s="34">
        <v>26.0</v>
      </c>
      <c r="E183" s="33" t="s">
        <v>173</v>
      </c>
      <c r="F183" s="34">
        <v>5.0</v>
      </c>
      <c r="G183" s="18"/>
      <c r="H183" s="18"/>
      <c r="I183" s="18"/>
      <c r="J183" s="18"/>
      <c r="K183" s="18"/>
      <c r="L183" s="22">
        <f t="shared" si="1"/>
        <v>0</v>
      </c>
      <c r="M183" s="23"/>
      <c r="N183" s="23"/>
      <c r="O183" s="23"/>
      <c r="P183" s="23"/>
      <c r="Q183" s="23"/>
      <c r="R183" s="23"/>
      <c r="S183" s="22">
        <f t="shared" si="2"/>
        <v>0</v>
      </c>
      <c r="T183" s="22">
        <f t="shared" si="3"/>
        <v>0</v>
      </c>
      <c r="U183" s="22">
        <f t="shared" si="4"/>
        <v>0</v>
      </c>
      <c r="V183" s="28"/>
      <c r="W183" s="28"/>
      <c r="X183" s="28"/>
      <c r="Y183" s="29"/>
      <c r="Z183" s="28"/>
    </row>
    <row r="184" ht="18.75" customHeight="1">
      <c r="A184" s="13">
        <v>46452.0</v>
      </c>
      <c r="B184" s="16" t="s">
        <v>360</v>
      </c>
      <c r="C184" s="16" t="s">
        <v>98</v>
      </c>
      <c r="D184" s="12">
        <v>26.0</v>
      </c>
      <c r="E184" s="16" t="s">
        <v>173</v>
      </c>
      <c r="F184" s="12">
        <v>5.0</v>
      </c>
      <c r="G184" s="18"/>
      <c r="H184" s="18"/>
      <c r="I184" s="18"/>
      <c r="J184" s="18"/>
      <c r="K184" s="18"/>
      <c r="L184" s="22">
        <f t="shared" si="1"/>
        <v>0</v>
      </c>
      <c r="M184" s="23"/>
      <c r="N184" s="23"/>
      <c r="O184" s="23"/>
      <c r="P184" s="23"/>
      <c r="Q184" s="23"/>
      <c r="R184" s="23"/>
      <c r="S184" s="22">
        <f t="shared" si="2"/>
        <v>0</v>
      </c>
      <c r="T184" s="22">
        <f t="shared" si="3"/>
        <v>0</v>
      </c>
      <c r="U184" s="22">
        <f t="shared" si="4"/>
        <v>0</v>
      </c>
      <c r="V184" s="28"/>
      <c r="W184" s="28"/>
      <c r="X184" s="28"/>
      <c r="Y184" s="29"/>
      <c r="Z184" s="28"/>
    </row>
    <row r="185" ht="18.75" customHeight="1">
      <c r="A185" s="13">
        <v>46453.0</v>
      </c>
      <c r="B185" s="16" t="s">
        <v>361</v>
      </c>
      <c r="C185" s="16" t="s">
        <v>58</v>
      </c>
      <c r="D185" s="12">
        <v>27.0</v>
      </c>
      <c r="E185" s="16" t="s">
        <v>173</v>
      </c>
      <c r="F185" s="12">
        <v>5.0</v>
      </c>
      <c r="G185" s="18"/>
      <c r="H185" s="18"/>
      <c r="I185" s="18"/>
      <c r="J185" s="18"/>
      <c r="K185" s="18"/>
      <c r="L185" s="22">
        <f t="shared" si="1"/>
        <v>0</v>
      </c>
      <c r="M185" s="23"/>
      <c r="N185" s="23"/>
      <c r="O185" s="23"/>
      <c r="P185" s="23"/>
      <c r="Q185" s="23"/>
      <c r="R185" s="23"/>
      <c r="S185" s="22">
        <f t="shared" si="2"/>
        <v>0</v>
      </c>
      <c r="T185" s="22">
        <f t="shared" si="3"/>
        <v>0</v>
      </c>
      <c r="U185" s="22">
        <f t="shared" si="4"/>
        <v>0</v>
      </c>
      <c r="V185" s="28"/>
      <c r="W185" s="28"/>
      <c r="X185" s="28"/>
      <c r="Y185" s="29"/>
      <c r="Z185" s="28"/>
    </row>
    <row r="186" ht="18.75" customHeight="1">
      <c r="A186" s="13">
        <v>46454.0</v>
      </c>
      <c r="B186" s="16" t="s">
        <v>362</v>
      </c>
      <c r="C186" s="16" t="s">
        <v>66</v>
      </c>
      <c r="D186" s="12">
        <v>27.0</v>
      </c>
      <c r="E186" s="16" t="s">
        <v>173</v>
      </c>
      <c r="F186" s="12">
        <v>5.0</v>
      </c>
      <c r="G186" s="18"/>
      <c r="H186" s="18"/>
      <c r="I186" s="18"/>
      <c r="J186" s="18"/>
      <c r="K186" s="18"/>
      <c r="L186" s="22">
        <f t="shared" si="1"/>
        <v>0</v>
      </c>
      <c r="M186" s="23"/>
      <c r="N186" s="23"/>
      <c r="O186" s="23"/>
      <c r="P186" s="23"/>
      <c r="Q186" s="23"/>
      <c r="R186" s="23"/>
      <c r="S186" s="22">
        <f t="shared" si="2"/>
        <v>0</v>
      </c>
      <c r="T186" s="22">
        <f t="shared" si="3"/>
        <v>0</v>
      </c>
      <c r="U186" s="22">
        <f t="shared" si="4"/>
        <v>0</v>
      </c>
      <c r="V186" s="28"/>
      <c r="W186" s="28"/>
      <c r="X186" s="28"/>
      <c r="Y186" s="29"/>
      <c r="Z186" s="28"/>
    </row>
    <row r="187" ht="18.75" customHeight="1">
      <c r="A187" s="13">
        <v>46455.0</v>
      </c>
      <c r="B187" s="16" t="s">
        <v>363</v>
      </c>
      <c r="C187" s="16" t="s">
        <v>72</v>
      </c>
      <c r="D187" s="12">
        <v>27.0</v>
      </c>
      <c r="E187" s="16" t="s">
        <v>173</v>
      </c>
      <c r="F187" s="12">
        <v>5.0</v>
      </c>
      <c r="G187" s="18"/>
      <c r="H187" s="18"/>
      <c r="I187" s="18"/>
      <c r="J187" s="18"/>
      <c r="K187" s="18"/>
      <c r="L187" s="22">
        <f t="shared" si="1"/>
        <v>0</v>
      </c>
      <c r="M187" s="23"/>
      <c r="N187" s="23"/>
      <c r="O187" s="23"/>
      <c r="P187" s="23"/>
      <c r="Q187" s="23"/>
      <c r="R187" s="23"/>
      <c r="S187" s="22">
        <f t="shared" si="2"/>
        <v>0</v>
      </c>
      <c r="T187" s="22">
        <f t="shared" si="3"/>
        <v>0</v>
      </c>
      <c r="U187" s="22">
        <f t="shared" si="4"/>
        <v>0</v>
      </c>
      <c r="V187" s="28"/>
      <c r="W187" s="28"/>
      <c r="X187" s="28"/>
      <c r="Y187" s="29"/>
      <c r="Z187" s="28"/>
    </row>
    <row r="188" ht="18.75" customHeight="1">
      <c r="A188" s="13">
        <v>46456.0</v>
      </c>
      <c r="B188" s="16" t="s">
        <v>364</v>
      </c>
      <c r="C188" s="16" t="s">
        <v>78</v>
      </c>
      <c r="D188" s="12">
        <v>27.0</v>
      </c>
      <c r="E188" s="16" t="s">
        <v>173</v>
      </c>
      <c r="F188" s="12">
        <v>5.0</v>
      </c>
      <c r="G188" s="18"/>
      <c r="H188" s="18"/>
      <c r="I188" s="18"/>
      <c r="J188" s="18"/>
      <c r="K188" s="18"/>
      <c r="L188" s="22">
        <f t="shared" si="1"/>
        <v>0</v>
      </c>
      <c r="M188" s="23"/>
      <c r="N188" s="23"/>
      <c r="O188" s="23"/>
      <c r="P188" s="23"/>
      <c r="Q188" s="23"/>
      <c r="R188" s="23"/>
      <c r="S188" s="22">
        <f t="shared" si="2"/>
        <v>0</v>
      </c>
      <c r="T188" s="22">
        <f t="shared" si="3"/>
        <v>0</v>
      </c>
      <c r="U188" s="22">
        <f t="shared" si="4"/>
        <v>0</v>
      </c>
      <c r="V188" s="28"/>
      <c r="W188" s="28"/>
      <c r="X188" s="28"/>
      <c r="Y188" s="29"/>
      <c r="Z188" s="28"/>
    </row>
    <row r="189" ht="18.75" customHeight="1">
      <c r="A189" s="13">
        <v>46457.0</v>
      </c>
      <c r="B189" s="16" t="s">
        <v>365</v>
      </c>
      <c r="C189" s="16" t="s">
        <v>86</v>
      </c>
      <c r="D189" s="12">
        <v>27.0</v>
      </c>
      <c r="E189" s="16" t="s">
        <v>173</v>
      </c>
      <c r="F189" s="12">
        <v>5.0</v>
      </c>
      <c r="G189" s="18"/>
      <c r="H189" s="18"/>
      <c r="I189" s="18"/>
      <c r="J189" s="18"/>
      <c r="K189" s="18"/>
      <c r="L189" s="22">
        <f t="shared" si="1"/>
        <v>0</v>
      </c>
      <c r="M189" s="23"/>
      <c r="N189" s="23"/>
      <c r="O189" s="23"/>
      <c r="P189" s="23"/>
      <c r="Q189" s="23"/>
      <c r="R189" s="23"/>
      <c r="S189" s="22">
        <f t="shared" si="2"/>
        <v>0</v>
      </c>
      <c r="T189" s="22">
        <f t="shared" si="3"/>
        <v>0</v>
      </c>
      <c r="U189" s="22">
        <f t="shared" si="4"/>
        <v>0</v>
      </c>
      <c r="V189" s="28"/>
      <c r="W189" s="28"/>
      <c r="X189" s="28"/>
      <c r="Y189" s="29"/>
      <c r="Z189" s="28"/>
    </row>
    <row r="190" ht="18.75" customHeight="1">
      <c r="A190" s="32">
        <v>46458.0</v>
      </c>
      <c r="B190" s="33" t="s">
        <v>366</v>
      </c>
      <c r="C190" s="33" t="s">
        <v>93</v>
      </c>
      <c r="D190" s="34">
        <v>27.0</v>
      </c>
      <c r="E190" s="33" t="s">
        <v>173</v>
      </c>
      <c r="F190" s="34">
        <v>5.0</v>
      </c>
      <c r="G190" s="18"/>
      <c r="H190" s="18"/>
      <c r="I190" s="18"/>
      <c r="J190" s="18"/>
      <c r="K190" s="18"/>
      <c r="L190" s="22">
        <f t="shared" si="1"/>
        <v>0</v>
      </c>
      <c r="M190" s="23"/>
      <c r="N190" s="23"/>
      <c r="O190" s="23"/>
      <c r="P190" s="23"/>
      <c r="Q190" s="23"/>
      <c r="R190" s="23"/>
      <c r="S190" s="22">
        <f t="shared" si="2"/>
        <v>0</v>
      </c>
      <c r="T190" s="22">
        <f t="shared" si="3"/>
        <v>0</v>
      </c>
      <c r="U190" s="22">
        <f t="shared" si="4"/>
        <v>0</v>
      </c>
      <c r="V190" s="28"/>
      <c r="W190" s="28"/>
      <c r="X190" s="28"/>
      <c r="Y190" s="29"/>
      <c r="Z190" s="28"/>
    </row>
    <row r="191" ht="18.75" customHeight="1">
      <c r="A191" s="13">
        <v>46459.0</v>
      </c>
      <c r="B191" s="16" t="s">
        <v>367</v>
      </c>
      <c r="C191" s="16" t="s">
        <v>98</v>
      </c>
      <c r="D191" s="12">
        <v>27.0</v>
      </c>
      <c r="E191" s="16" t="s">
        <v>173</v>
      </c>
      <c r="F191" s="12">
        <v>5.0</v>
      </c>
      <c r="G191" s="18"/>
      <c r="H191" s="18"/>
      <c r="I191" s="18"/>
      <c r="J191" s="18"/>
      <c r="K191" s="18"/>
      <c r="L191" s="22">
        <f t="shared" si="1"/>
        <v>0</v>
      </c>
      <c r="M191" s="23"/>
      <c r="N191" s="23"/>
      <c r="O191" s="23"/>
      <c r="P191" s="23"/>
      <c r="Q191" s="23"/>
      <c r="R191" s="23"/>
      <c r="S191" s="22">
        <f t="shared" si="2"/>
        <v>0</v>
      </c>
      <c r="T191" s="22">
        <f t="shared" si="3"/>
        <v>0</v>
      </c>
      <c r="U191" s="22">
        <f t="shared" si="4"/>
        <v>0</v>
      </c>
      <c r="V191" s="28"/>
      <c r="W191" s="28"/>
      <c r="X191" s="28"/>
      <c r="Y191" s="29"/>
      <c r="Z191" s="28"/>
    </row>
    <row r="192" ht="18.75" customHeight="1">
      <c r="A192" s="13">
        <v>46460.0</v>
      </c>
      <c r="B192" s="16" t="s">
        <v>368</v>
      </c>
      <c r="C192" s="16" t="s">
        <v>58</v>
      </c>
      <c r="D192" s="12">
        <v>28.0</v>
      </c>
      <c r="E192" s="16" t="s">
        <v>173</v>
      </c>
      <c r="F192" s="12">
        <v>5.0</v>
      </c>
      <c r="G192" s="18"/>
      <c r="H192" s="18"/>
      <c r="I192" s="18"/>
      <c r="J192" s="18"/>
      <c r="K192" s="18"/>
      <c r="L192" s="22">
        <f t="shared" si="1"/>
        <v>0</v>
      </c>
      <c r="M192" s="23"/>
      <c r="N192" s="23"/>
      <c r="O192" s="23"/>
      <c r="P192" s="23"/>
      <c r="Q192" s="23"/>
      <c r="R192" s="23"/>
      <c r="S192" s="22">
        <f t="shared" si="2"/>
        <v>0</v>
      </c>
      <c r="T192" s="22">
        <f t="shared" si="3"/>
        <v>0</v>
      </c>
      <c r="U192" s="22">
        <f t="shared" si="4"/>
        <v>0</v>
      </c>
      <c r="V192" s="28"/>
      <c r="W192" s="28"/>
      <c r="X192" s="28"/>
      <c r="Y192" s="29"/>
      <c r="Z192" s="28"/>
    </row>
    <row r="193" ht="18.75" customHeight="1">
      <c r="A193" s="13">
        <v>46461.0</v>
      </c>
      <c r="B193" s="16" t="s">
        <v>369</v>
      </c>
      <c r="C193" s="16" t="s">
        <v>66</v>
      </c>
      <c r="D193" s="12">
        <v>28.0</v>
      </c>
      <c r="E193" s="16" t="s">
        <v>173</v>
      </c>
      <c r="F193" s="12">
        <v>5.0</v>
      </c>
      <c r="G193" s="18"/>
      <c r="H193" s="18"/>
      <c r="I193" s="18"/>
      <c r="J193" s="18"/>
      <c r="K193" s="18"/>
      <c r="L193" s="22">
        <f t="shared" si="1"/>
        <v>0</v>
      </c>
      <c r="M193" s="23"/>
      <c r="N193" s="23"/>
      <c r="O193" s="23"/>
      <c r="P193" s="23"/>
      <c r="Q193" s="23"/>
      <c r="R193" s="23"/>
      <c r="S193" s="22">
        <f t="shared" si="2"/>
        <v>0</v>
      </c>
      <c r="T193" s="22">
        <f t="shared" si="3"/>
        <v>0</v>
      </c>
      <c r="U193" s="22">
        <f t="shared" si="4"/>
        <v>0</v>
      </c>
      <c r="V193" s="28"/>
      <c r="W193" s="28"/>
      <c r="X193" s="28"/>
      <c r="Y193" s="29"/>
      <c r="Z193" s="28"/>
    </row>
    <row r="194" ht="18.75" customHeight="1">
      <c r="A194" s="13">
        <v>46462.0</v>
      </c>
      <c r="B194" s="16" t="s">
        <v>370</v>
      </c>
      <c r="C194" s="16" t="s">
        <v>72</v>
      </c>
      <c r="D194" s="12">
        <v>28.0</v>
      </c>
      <c r="E194" s="16" t="s">
        <v>173</v>
      </c>
      <c r="F194" s="12">
        <v>5.0</v>
      </c>
      <c r="G194" s="18"/>
      <c r="H194" s="18"/>
      <c r="I194" s="18"/>
      <c r="J194" s="18"/>
      <c r="K194" s="18"/>
      <c r="L194" s="22">
        <f t="shared" si="1"/>
        <v>0</v>
      </c>
      <c r="M194" s="23"/>
      <c r="N194" s="23"/>
      <c r="O194" s="23"/>
      <c r="P194" s="23"/>
      <c r="Q194" s="23"/>
      <c r="R194" s="23"/>
      <c r="S194" s="22">
        <f t="shared" si="2"/>
        <v>0</v>
      </c>
      <c r="T194" s="22">
        <f t="shared" si="3"/>
        <v>0</v>
      </c>
      <c r="U194" s="22">
        <f t="shared" si="4"/>
        <v>0</v>
      </c>
      <c r="V194" s="28"/>
      <c r="W194" s="28"/>
      <c r="X194" s="28"/>
      <c r="Y194" s="29"/>
      <c r="Z194" s="28"/>
    </row>
    <row r="195" ht="18.75" customHeight="1">
      <c r="A195" s="13">
        <v>46463.0</v>
      </c>
      <c r="B195" s="16" t="s">
        <v>371</v>
      </c>
      <c r="C195" s="16" t="s">
        <v>78</v>
      </c>
      <c r="D195" s="12">
        <v>28.0</v>
      </c>
      <c r="E195" s="16" t="s">
        <v>173</v>
      </c>
      <c r="F195" s="12">
        <v>5.0</v>
      </c>
      <c r="G195" s="18"/>
      <c r="H195" s="18"/>
      <c r="I195" s="18"/>
      <c r="J195" s="18"/>
      <c r="K195" s="18"/>
      <c r="L195" s="22">
        <f t="shared" si="1"/>
        <v>0</v>
      </c>
      <c r="M195" s="23"/>
      <c r="N195" s="23"/>
      <c r="O195" s="23"/>
      <c r="P195" s="23"/>
      <c r="Q195" s="23"/>
      <c r="R195" s="23"/>
      <c r="S195" s="22">
        <f t="shared" si="2"/>
        <v>0</v>
      </c>
      <c r="T195" s="22">
        <f t="shared" si="3"/>
        <v>0</v>
      </c>
      <c r="U195" s="22">
        <f t="shared" si="4"/>
        <v>0</v>
      </c>
      <c r="V195" s="28"/>
      <c r="W195" s="28"/>
      <c r="X195" s="28"/>
      <c r="Y195" s="29"/>
      <c r="Z195" s="28"/>
    </row>
    <row r="196" ht="18.75" customHeight="1">
      <c r="A196" s="13">
        <v>46464.0</v>
      </c>
      <c r="B196" s="16" t="s">
        <v>372</v>
      </c>
      <c r="C196" s="16" t="s">
        <v>86</v>
      </c>
      <c r="D196" s="12">
        <v>28.0</v>
      </c>
      <c r="E196" s="16" t="s">
        <v>173</v>
      </c>
      <c r="F196" s="12">
        <v>5.0</v>
      </c>
      <c r="G196" s="18"/>
      <c r="H196" s="18"/>
      <c r="I196" s="18"/>
      <c r="J196" s="18"/>
      <c r="K196" s="18"/>
      <c r="L196" s="22">
        <f t="shared" si="1"/>
        <v>0</v>
      </c>
      <c r="M196" s="23"/>
      <c r="N196" s="23"/>
      <c r="O196" s="23"/>
      <c r="P196" s="23"/>
      <c r="Q196" s="23"/>
      <c r="R196" s="23"/>
      <c r="S196" s="22">
        <f t="shared" si="2"/>
        <v>0</v>
      </c>
      <c r="T196" s="22">
        <f t="shared" si="3"/>
        <v>0</v>
      </c>
      <c r="U196" s="22">
        <f t="shared" si="4"/>
        <v>0</v>
      </c>
      <c r="V196" s="28"/>
      <c r="W196" s="28"/>
      <c r="X196" s="28"/>
      <c r="Y196" s="29"/>
      <c r="Z196" s="28"/>
    </row>
    <row r="197" ht="18.75" customHeight="1">
      <c r="A197" s="32">
        <v>46465.0</v>
      </c>
      <c r="B197" s="33" t="s">
        <v>373</v>
      </c>
      <c r="C197" s="33" t="s">
        <v>93</v>
      </c>
      <c r="D197" s="34">
        <v>28.0</v>
      </c>
      <c r="E197" s="33" t="s">
        <v>173</v>
      </c>
      <c r="F197" s="34">
        <v>5.0</v>
      </c>
      <c r="G197" s="18"/>
      <c r="H197" s="18"/>
      <c r="I197" s="18"/>
      <c r="J197" s="18"/>
      <c r="K197" s="18"/>
      <c r="L197" s="22">
        <f t="shared" si="1"/>
        <v>0</v>
      </c>
      <c r="M197" s="23"/>
      <c r="N197" s="23"/>
      <c r="O197" s="23"/>
      <c r="P197" s="23"/>
      <c r="Q197" s="23"/>
      <c r="R197" s="23"/>
      <c r="S197" s="22">
        <f t="shared" si="2"/>
        <v>0</v>
      </c>
      <c r="T197" s="22">
        <f t="shared" si="3"/>
        <v>0</v>
      </c>
      <c r="U197" s="22">
        <f t="shared" si="4"/>
        <v>0</v>
      </c>
      <c r="V197" s="28"/>
      <c r="W197" s="28"/>
      <c r="X197" s="28"/>
      <c r="Y197" s="29"/>
      <c r="Z197" s="28"/>
    </row>
    <row r="198" ht="18.75" customHeight="1">
      <c r="A198" s="13">
        <v>46466.0</v>
      </c>
      <c r="B198" s="16" t="s">
        <v>374</v>
      </c>
      <c r="C198" s="16" t="s">
        <v>98</v>
      </c>
      <c r="D198" s="12">
        <v>28.0</v>
      </c>
      <c r="E198" s="16" t="s">
        <v>173</v>
      </c>
      <c r="F198" s="12">
        <v>5.0</v>
      </c>
      <c r="G198" s="18"/>
      <c r="H198" s="18"/>
      <c r="I198" s="18"/>
      <c r="J198" s="18"/>
      <c r="K198" s="18"/>
      <c r="L198" s="22">
        <f t="shared" si="1"/>
        <v>0</v>
      </c>
      <c r="M198" s="23"/>
      <c r="N198" s="23"/>
      <c r="O198" s="23"/>
      <c r="P198" s="23"/>
      <c r="Q198" s="23"/>
      <c r="R198" s="23"/>
      <c r="S198" s="22">
        <f t="shared" si="2"/>
        <v>0</v>
      </c>
      <c r="T198" s="22">
        <f t="shared" si="3"/>
        <v>0</v>
      </c>
      <c r="U198" s="22">
        <f t="shared" si="4"/>
        <v>0</v>
      </c>
      <c r="V198" s="28"/>
      <c r="W198" s="28"/>
      <c r="X198" s="28"/>
      <c r="Y198" s="29"/>
      <c r="Z198" s="28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2:$Z$198"/>
  <conditionalFormatting sqref="L3:L198">
    <cfRule type="colorScale" priority="1">
      <colorScale>
        <cfvo type="formula" val="0"/>
        <cfvo type="formula" val="130"/>
        <cfvo type="formula" val="255"/>
        <color rgb="FFFFFFFF"/>
        <color rgb="FFDCE7EB"/>
        <color rgb="FF7FB0BF"/>
      </colorScale>
    </cfRule>
  </conditionalFormatting>
  <conditionalFormatting sqref="T3:T198">
    <cfRule type="cellIs" dxfId="6" priority="2" operator="equal">
      <formula>0</formula>
    </cfRule>
  </conditionalFormatting>
  <dataValidations>
    <dataValidation type="decimal" allowBlank="1" sqref="G3:K198 M3:R198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7.0"/>
    <col customWidth="1" min="2" max="3" width="11.0"/>
    <col customWidth="1" min="4" max="4" width="6.0"/>
    <col customWidth="1" min="5" max="5" width="46.0"/>
    <col customWidth="1" min="6" max="6" width="9.0"/>
    <col customWidth="1" min="7" max="7" width="8.0"/>
    <col customWidth="1" min="8" max="9" width="9.0"/>
    <col customWidth="1" min="10" max="10" width="11.0"/>
    <col customWidth="1" min="11" max="11" width="10.0"/>
    <col customWidth="1" min="12" max="12" width="12.0"/>
    <col customWidth="1" min="13" max="15" width="28.0"/>
    <col customWidth="1" min="16" max="17" width="11.0"/>
    <col customWidth="1" min="18" max="26" width="8.71"/>
  </cols>
  <sheetData>
    <row r="1" ht="27.7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3.75" customHeight="1">
      <c r="A2" s="4" t="s">
        <v>6</v>
      </c>
      <c r="B2" s="4" t="s">
        <v>9</v>
      </c>
      <c r="C2" s="4" t="s">
        <v>10</v>
      </c>
      <c r="D2" s="4" t="s">
        <v>20</v>
      </c>
      <c r="E2" s="4" t="s">
        <v>26</v>
      </c>
      <c r="F2" s="4" t="s">
        <v>12</v>
      </c>
      <c r="G2" s="4" t="s">
        <v>13</v>
      </c>
      <c r="H2" s="4" t="s">
        <v>15</v>
      </c>
      <c r="I2" s="4" t="s">
        <v>32</v>
      </c>
      <c r="J2" s="4" t="s">
        <v>34</v>
      </c>
      <c r="K2" s="4" t="s">
        <v>19</v>
      </c>
      <c r="L2" s="4" t="s">
        <v>38</v>
      </c>
      <c r="M2" s="4" t="s">
        <v>40</v>
      </c>
      <c r="N2" s="4" t="s">
        <v>42</v>
      </c>
      <c r="O2" s="4" t="s">
        <v>45</v>
      </c>
      <c r="P2" s="4" t="s">
        <v>27</v>
      </c>
      <c r="Q2" s="4" t="s">
        <v>48</v>
      </c>
    </row>
    <row r="3" ht="30.0" customHeight="1">
      <c r="A3" s="12">
        <v>1.0</v>
      </c>
      <c r="B3" s="13">
        <v>46271.0</v>
      </c>
      <c r="C3" s="13">
        <v>46277.0</v>
      </c>
      <c r="D3" s="12">
        <v>1.0</v>
      </c>
      <c r="E3" s="17" t="s">
        <v>59</v>
      </c>
      <c r="F3" s="20">
        <f>SUMIF('ورود روزانه'!$D$3:$D$200,$A3,'ورود روزانه'!$L$3:$L$200)</f>
        <v>1380</v>
      </c>
      <c r="G3" s="20">
        <f t="shared" ref="G3:G30" si="1">ROUND(F3/60,1)</f>
        <v>23</v>
      </c>
      <c r="H3" s="25">
        <f t="shared" ref="H3:H30" si="2">IFERROR(F3/1530,0)</f>
        <v>0.9019607843</v>
      </c>
      <c r="I3" s="20">
        <f>SUMIF('ورود روزانه'!$D$3:$D$200,$A3,'ورود روزانه'!$T$3:$T$200)</f>
        <v>5</v>
      </c>
      <c r="J3" s="20">
        <f>SUMIF('ورود روزانه'!$D$3:$D$200,$A3,'ورود روزانه'!$S$3:$S$200)</f>
        <v>39</v>
      </c>
      <c r="K3" s="20">
        <f>COUNTIFS('لکسیون'!$E$3:$E$82,"&gt;="&amp;$B3,'لکسیون'!$E$3:$E$82,"&lt;="&amp;$C3,'لکسیون'!$I$3:$I$82,"بسته")</f>
        <v>0</v>
      </c>
      <c r="L3" s="20" t="str">
        <f t="shared" ref="L3:L30" si="3">IF(F3=0,"—",IF(H3&gt;=0.9,"عالی",IF(H3&gt;=0.7,"خوب","هشدار")))</f>
        <v>عالی</v>
      </c>
      <c r="M3" s="31" t="s">
        <v>79</v>
      </c>
      <c r="N3" s="31" t="s">
        <v>80</v>
      </c>
      <c r="O3" s="31" t="s">
        <v>81</v>
      </c>
      <c r="P3" s="29">
        <f>SUMIF('ورود روزانه'!$D$3:$D$200,$A3,'ورود روزانه'!$Y$3:$Y$200)</f>
        <v>0</v>
      </c>
      <c r="Q3" s="29">
        <f t="shared" ref="Q3:Q30" si="4">ROUND((F3+P3)/60,1)</f>
        <v>23</v>
      </c>
    </row>
    <row r="4" ht="30.0" customHeight="1">
      <c r="A4" s="12">
        <v>2.0</v>
      </c>
      <c r="B4" s="13">
        <v>46278.0</v>
      </c>
      <c r="C4" s="13">
        <v>46284.0</v>
      </c>
      <c r="D4" s="12">
        <v>1.0</v>
      </c>
      <c r="E4" s="17" t="s">
        <v>90</v>
      </c>
      <c r="F4" s="20">
        <f>SUMIF('ورود روزانه'!$D$3:$D$200,$A4,'ورود روزانه'!$L$3:$L$200)</f>
        <v>870</v>
      </c>
      <c r="G4" s="20">
        <f t="shared" si="1"/>
        <v>14.5</v>
      </c>
      <c r="H4" s="25">
        <f t="shared" si="2"/>
        <v>0.568627451</v>
      </c>
      <c r="I4" s="20">
        <f>SUMIF('ورود روزانه'!$D$3:$D$200,$A4,'ورود روزانه'!$T$3:$T$200)</f>
        <v>6</v>
      </c>
      <c r="J4" s="20">
        <f>SUMIF('ورود روزانه'!$D$3:$D$200,$A4,'ورود روزانه'!$S$3:$S$200)</f>
        <v>37</v>
      </c>
      <c r="K4" s="20">
        <f>COUNTIFS('لکسیون'!$E$3:$E$82,"&gt;="&amp;$B4,'لکسیون'!$E$3:$E$82,"&lt;="&amp;$C4,'لکسیون'!$I$3:$I$82,"بسته")</f>
        <v>0</v>
      </c>
      <c r="L4" s="20" t="str">
        <f t="shared" si="3"/>
        <v>هشدار</v>
      </c>
      <c r="M4" s="39"/>
      <c r="N4" s="39" t="s">
        <v>107</v>
      </c>
      <c r="O4" s="28"/>
      <c r="P4" s="29">
        <f>SUMIF('ورود روزانه'!$D$3:$D$200,$A4,'ورود روزانه'!$Y$3:$Y$200)</f>
        <v>0</v>
      </c>
      <c r="Q4" s="29">
        <f t="shared" si="4"/>
        <v>14.5</v>
      </c>
    </row>
    <row r="5" ht="30.0" customHeight="1">
      <c r="A5" s="12">
        <v>3.0</v>
      </c>
      <c r="B5" s="13">
        <v>46285.0</v>
      </c>
      <c r="C5" s="13">
        <v>46291.0</v>
      </c>
      <c r="D5" s="12">
        <v>1.0</v>
      </c>
      <c r="E5" s="17" t="s">
        <v>116</v>
      </c>
      <c r="F5" s="20">
        <f>SUMIF('ورود روزانه'!$D$3:$D$200,$A5,'ورود روزانه'!$L$3:$L$200)</f>
        <v>195</v>
      </c>
      <c r="G5" s="20">
        <f t="shared" si="1"/>
        <v>3.3</v>
      </c>
      <c r="H5" s="25">
        <f t="shared" si="2"/>
        <v>0.1274509804</v>
      </c>
      <c r="I5" s="20">
        <f>SUMIF('ورود روزانه'!$D$3:$D$200,$A5,'ورود روزانه'!$T$3:$T$200)</f>
        <v>2</v>
      </c>
      <c r="J5" s="20">
        <f>SUMIF('ورود روزانه'!$D$3:$D$200,$A5,'ورود روزانه'!$S$3:$S$200)</f>
        <v>10</v>
      </c>
      <c r="K5" s="20">
        <f>COUNTIFS('لکسیون'!$E$3:$E$82,"&gt;="&amp;$B5,'لکسیون'!$E$3:$E$82,"&lt;="&amp;$C5,'لکسیون'!$I$3:$I$82,"بسته")</f>
        <v>0</v>
      </c>
      <c r="L5" s="20" t="str">
        <f t="shared" si="3"/>
        <v>هشدار</v>
      </c>
      <c r="M5" s="28"/>
      <c r="N5" s="28"/>
      <c r="O5" s="28"/>
      <c r="P5" s="29">
        <f>SUMIF('ورود روزانه'!$D$3:$D$200,$A5,'ورود روزانه'!$Y$3:$Y$200)</f>
        <v>0</v>
      </c>
      <c r="Q5" s="29">
        <f t="shared" si="4"/>
        <v>3.3</v>
      </c>
    </row>
    <row r="6" ht="30.0" customHeight="1">
      <c r="A6" s="12">
        <v>4.0</v>
      </c>
      <c r="B6" s="13">
        <v>46292.0</v>
      </c>
      <c r="C6" s="13">
        <v>46298.0</v>
      </c>
      <c r="D6" s="12">
        <v>1.0</v>
      </c>
      <c r="E6" s="17" t="s">
        <v>133</v>
      </c>
      <c r="F6" s="20">
        <f>SUMIF('ورود روزانه'!$D$3:$D$200,$A6,'ورود روزانه'!$L$3:$L$200)</f>
        <v>0</v>
      </c>
      <c r="G6" s="20">
        <f t="shared" si="1"/>
        <v>0</v>
      </c>
      <c r="H6" s="25">
        <f t="shared" si="2"/>
        <v>0</v>
      </c>
      <c r="I6" s="20">
        <f>SUMIF('ورود روزانه'!$D$3:$D$200,$A6,'ورود روزانه'!$T$3:$T$200)</f>
        <v>0</v>
      </c>
      <c r="J6" s="20">
        <f>SUMIF('ورود روزانه'!$D$3:$D$200,$A6,'ورود روزانه'!$S$3:$S$200)</f>
        <v>0</v>
      </c>
      <c r="K6" s="20">
        <f>COUNTIFS('لکسیون'!$E$3:$E$82,"&gt;="&amp;$B6,'لکسیون'!$E$3:$E$82,"&lt;="&amp;$C6,'لکسیون'!$I$3:$I$82,"بسته")</f>
        <v>0</v>
      </c>
      <c r="L6" s="20" t="str">
        <f t="shared" si="3"/>
        <v>—</v>
      </c>
      <c r="M6" s="28"/>
      <c r="N6" s="28"/>
      <c r="O6" s="28"/>
      <c r="P6" s="29">
        <f>SUMIF('ورود روزانه'!$D$3:$D$200,$A6,'ورود روزانه'!$Y$3:$Y$200)</f>
        <v>0</v>
      </c>
      <c r="Q6" s="29">
        <f t="shared" si="4"/>
        <v>0</v>
      </c>
    </row>
    <row r="7" ht="30.0" customHeight="1">
      <c r="A7" s="12">
        <v>5.0</v>
      </c>
      <c r="B7" s="13">
        <v>46299.0</v>
      </c>
      <c r="C7" s="13">
        <v>46305.0</v>
      </c>
      <c r="D7" s="12">
        <v>1.0</v>
      </c>
      <c r="E7" s="17" t="s">
        <v>154</v>
      </c>
      <c r="F7" s="20">
        <f>SUMIF('ورود روزانه'!$D$3:$D$200,$A7,'ورود روزانه'!$L$3:$L$200)</f>
        <v>0</v>
      </c>
      <c r="G7" s="20">
        <f t="shared" si="1"/>
        <v>0</v>
      </c>
      <c r="H7" s="25">
        <f t="shared" si="2"/>
        <v>0</v>
      </c>
      <c r="I7" s="20">
        <f>SUMIF('ورود روزانه'!$D$3:$D$200,$A7,'ورود روزانه'!$T$3:$T$200)</f>
        <v>0</v>
      </c>
      <c r="J7" s="20">
        <f>SUMIF('ورود روزانه'!$D$3:$D$200,$A7,'ورود روزانه'!$S$3:$S$200)</f>
        <v>0</v>
      </c>
      <c r="K7" s="20">
        <f>COUNTIFS('لکسیون'!$E$3:$E$82,"&gt;="&amp;$B7,'لکسیون'!$E$3:$E$82,"&lt;="&amp;$C7,'لکسیون'!$I$3:$I$82,"بسته")</f>
        <v>0</v>
      </c>
      <c r="L7" s="20" t="str">
        <f t="shared" si="3"/>
        <v>—</v>
      </c>
      <c r="M7" s="28"/>
      <c r="N7" s="28"/>
      <c r="O7" s="28"/>
      <c r="P7" s="29">
        <f>SUMIF('ورود روزانه'!$D$3:$D$200,$A7,'ورود روزانه'!$Y$3:$Y$200)</f>
        <v>0</v>
      </c>
      <c r="Q7" s="29">
        <f t="shared" si="4"/>
        <v>0</v>
      </c>
    </row>
    <row r="8" ht="30.0" customHeight="1">
      <c r="A8" s="12">
        <v>6.0</v>
      </c>
      <c r="B8" s="13">
        <v>46306.0</v>
      </c>
      <c r="C8" s="13">
        <v>46312.0</v>
      </c>
      <c r="D8" s="12">
        <v>1.0</v>
      </c>
      <c r="E8" s="17" t="s">
        <v>162</v>
      </c>
      <c r="F8" s="20">
        <f>SUMIF('ورود روزانه'!$D$3:$D$200,$A8,'ورود روزانه'!$L$3:$L$200)</f>
        <v>0</v>
      </c>
      <c r="G8" s="20">
        <f t="shared" si="1"/>
        <v>0</v>
      </c>
      <c r="H8" s="25">
        <f t="shared" si="2"/>
        <v>0</v>
      </c>
      <c r="I8" s="20">
        <f>SUMIF('ورود روزانه'!$D$3:$D$200,$A8,'ورود روزانه'!$T$3:$T$200)</f>
        <v>0</v>
      </c>
      <c r="J8" s="20">
        <f>SUMIF('ورود روزانه'!$D$3:$D$200,$A8,'ورود روزانه'!$S$3:$S$200)</f>
        <v>0</v>
      </c>
      <c r="K8" s="20">
        <f>COUNTIFS('لکسیون'!$E$3:$E$82,"&gt;="&amp;$B8,'لکسیون'!$E$3:$E$82,"&lt;="&amp;$C8,'لکسیون'!$I$3:$I$82,"بسته")</f>
        <v>0</v>
      </c>
      <c r="L8" s="20" t="str">
        <f t="shared" si="3"/>
        <v>—</v>
      </c>
      <c r="M8" s="28"/>
      <c r="N8" s="28"/>
      <c r="O8" s="28"/>
      <c r="P8" s="29">
        <f>SUMIF('ورود روزانه'!$D$3:$D$200,$A8,'ورود روزانه'!$Y$3:$Y$200)</f>
        <v>0</v>
      </c>
      <c r="Q8" s="29">
        <f t="shared" si="4"/>
        <v>0</v>
      </c>
    </row>
    <row r="9" ht="30.0" customHeight="1">
      <c r="A9" s="12">
        <v>7.0</v>
      </c>
      <c r="B9" s="13">
        <v>46313.0</v>
      </c>
      <c r="C9" s="13">
        <v>46319.0</v>
      </c>
      <c r="D9" s="12">
        <v>2.0</v>
      </c>
      <c r="E9" s="47" t="s">
        <v>169</v>
      </c>
      <c r="F9" s="20">
        <f>SUMIF('ورود روزانه'!$D$3:$D$200,$A9,'ورود روزانه'!$L$3:$L$200)</f>
        <v>0</v>
      </c>
      <c r="G9" s="20">
        <f t="shared" si="1"/>
        <v>0</v>
      </c>
      <c r="H9" s="25">
        <f t="shared" si="2"/>
        <v>0</v>
      </c>
      <c r="I9" s="20">
        <f>SUMIF('ورود روزانه'!$D$3:$D$200,$A9,'ورود روزانه'!$T$3:$T$200)</f>
        <v>0</v>
      </c>
      <c r="J9" s="20">
        <f>SUMIF('ورود روزانه'!$D$3:$D$200,$A9,'ورود روزانه'!$S$3:$S$200)</f>
        <v>0</v>
      </c>
      <c r="K9" s="20">
        <f>COUNTIFS('لکسیون'!$E$3:$E$82,"&gt;="&amp;$B9,'لکسیون'!$E$3:$E$82,"&lt;="&amp;$C9,'لکسیون'!$I$3:$I$82,"بسته")</f>
        <v>0</v>
      </c>
      <c r="L9" s="20" t="str">
        <f t="shared" si="3"/>
        <v>—</v>
      </c>
      <c r="M9" s="28"/>
      <c r="N9" s="28"/>
      <c r="O9" s="28"/>
      <c r="P9" s="29">
        <f>SUMIF('ورود روزانه'!$D$3:$D$200,$A9,'ورود روزانه'!$Y$3:$Y$200)</f>
        <v>0</v>
      </c>
      <c r="Q9" s="29">
        <f t="shared" si="4"/>
        <v>0</v>
      </c>
    </row>
    <row r="10" ht="30.0" customHeight="1">
      <c r="A10" s="12">
        <v>8.0</v>
      </c>
      <c r="B10" s="13">
        <v>46320.0</v>
      </c>
      <c r="C10" s="13">
        <v>46326.0</v>
      </c>
      <c r="D10" s="12">
        <v>2.0</v>
      </c>
      <c r="E10" s="47" t="s">
        <v>176</v>
      </c>
      <c r="F10" s="20">
        <f>SUMIF('ورود روزانه'!$D$3:$D$200,$A10,'ورود روزانه'!$L$3:$L$200)</f>
        <v>0</v>
      </c>
      <c r="G10" s="20">
        <f t="shared" si="1"/>
        <v>0</v>
      </c>
      <c r="H10" s="25">
        <f t="shared" si="2"/>
        <v>0</v>
      </c>
      <c r="I10" s="20">
        <f>SUMIF('ورود روزانه'!$D$3:$D$200,$A10,'ورود روزانه'!$T$3:$T$200)</f>
        <v>0</v>
      </c>
      <c r="J10" s="20">
        <f>SUMIF('ورود روزانه'!$D$3:$D$200,$A10,'ورود روزانه'!$S$3:$S$200)</f>
        <v>0</v>
      </c>
      <c r="K10" s="20">
        <f>COUNTIFS('لکسیون'!$E$3:$E$82,"&gt;="&amp;$B10,'لکسیون'!$E$3:$E$82,"&lt;="&amp;$C10,'لکسیون'!$I$3:$I$82,"بسته")</f>
        <v>0</v>
      </c>
      <c r="L10" s="20" t="str">
        <f t="shared" si="3"/>
        <v>—</v>
      </c>
      <c r="M10" s="28"/>
      <c r="N10" s="28"/>
      <c r="O10" s="28"/>
      <c r="P10" s="29">
        <f>SUMIF('ورود روزانه'!$D$3:$D$200,$A10,'ورود روزانه'!$Y$3:$Y$200)</f>
        <v>0</v>
      </c>
      <c r="Q10" s="29">
        <f t="shared" si="4"/>
        <v>0</v>
      </c>
    </row>
    <row r="11" ht="30.0" customHeight="1">
      <c r="A11" s="12">
        <v>9.0</v>
      </c>
      <c r="B11" s="13">
        <v>46327.0</v>
      </c>
      <c r="C11" s="13">
        <v>46333.0</v>
      </c>
      <c r="D11" s="12">
        <v>2.0</v>
      </c>
      <c r="E11" s="47" t="s">
        <v>183</v>
      </c>
      <c r="F11" s="20">
        <f>SUMIF('ورود روزانه'!$D$3:$D$200,$A11,'ورود روزانه'!$L$3:$L$200)</f>
        <v>0</v>
      </c>
      <c r="G11" s="20">
        <f t="shared" si="1"/>
        <v>0</v>
      </c>
      <c r="H11" s="25">
        <f t="shared" si="2"/>
        <v>0</v>
      </c>
      <c r="I11" s="20">
        <f>SUMIF('ورود روزانه'!$D$3:$D$200,$A11,'ورود روزانه'!$T$3:$T$200)</f>
        <v>0</v>
      </c>
      <c r="J11" s="20">
        <f>SUMIF('ورود روزانه'!$D$3:$D$200,$A11,'ورود روزانه'!$S$3:$S$200)</f>
        <v>0</v>
      </c>
      <c r="K11" s="20">
        <f>COUNTIFS('لکسیون'!$E$3:$E$82,"&gt;="&amp;$B11,'لکسیون'!$E$3:$E$82,"&lt;="&amp;$C11,'لکسیون'!$I$3:$I$82,"بسته")</f>
        <v>0</v>
      </c>
      <c r="L11" s="20" t="str">
        <f t="shared" si="3"/>
        <v>—</v>
      </c>
      <c r="M11" s="28"/>
      <c r="N11" s="28"/>
      <c r="O11" s="28"/>
      <c r="P11" s="29">
        <f>SUMIF('ورود روزانه'!$D$3:$D$200,$A11,'ورود روزانه'!$Y$3:$Y$200)</f>
        <v>0</v>
      </c>
      <c r="Q11" s="29">
        <f t="shared" si="4"/>
        <v>0</v>
      </c>
    </row>
    <row r="12" ht="30.0" customHeight="1">
      <c r="A12" s="12">
        <v>10.0</v>
      </c>
      <c r="B12" s="13">
        <v>46334.0</v>
      </c>
      <c r="C12" s="13">
        <v>46340.0</v>
      </c>
      <c r="D12" s="12">
        <v>2.0</v>
      </c>
      <c r="E12" s="47" t="s">
        <v>187</v>
      </c>
      <c r="F12" s="20">
        <f>SUMIF('ورود روزانه'!$D$3:$D$200,$A12,'ورود روزانه'!$L$3:$L$200)</f>
        <v>0</v>
      </c>
      <c r="G12" s="20">
        <f t="shared" si="1"/>
        <v>0</v>
      </c>
      <c r="H12" s="25">
        <f t="shared" si="2"/>
        <v>0</v>
      </c>
      <c r="I12" s="20">
        <f>SUMIF('ورود روزانه'!$D$3:$D$200,$A12,'ورود روزانه'!$T$3:$T$200)</f>
        <v>0</v>
      </c>
      <c r="J12" s="20">
        <f>SUMIF('ورود روزانه'!$D$3:$D$200,$A12,'ورود روزانه'!$S$3:$S$200)</f>
        <v>0</v>
      </c>
      <c r="K12" s="20">
        <f>COUNTIFS('لکسیون'!$E$3:$E$82,"&gt;="&amp;$B12,'لکسیون'!$E$3:$E$82,"&lt;="&amp;$C12,'لکسیون'!$I$3:$I$82,"بسته")</f>
        <v>0</v>
      </c>
      <c r="L12" s="20" t="str">
        <f t="shared" si="3"/>
        <v>—</v>
      </c>
      <c r="M12" s="28"/>
      <c r="N12" s="28"/>
      <c r="O12" s="28"/>
      <c r="P12" s="29">
        <f>SUMIF('ورود روزانه'!$D$3:$D$200,$A12,'ورود روزانه'!$Y$3:$Y$200)</f>
        <v>0</v>
      </c>
      <c r="Q12" s="29">
        <f t="shared" si="4"/>
        <v>0</v>
      </c>
    </row>
    <row r="13" ht="30.0" customHeight="1">
      <c r="A13" s="12">
        <v>11.0</v>
      </c>
      <c r="B13" s="13">
        <v>46341.0</v>
      </c>
      <c r="C13" s="13">
        <v>46347.0</v>
      </c>
      <c r="D13" s="12">
        <v>2.0</v>
      </c>
      <c r="E13" s="47" t="s">
        <v>191</v>
      </c>
      <c r="F13" s="20">
        <f>SUMIF('ورود روزانه'!$D$3:$D$200,$A13,'ورود روزانه'!$L$3:$L$200)</f>
        <v>0</v>
      </c>
      <c r="G13" s="20">
        <f t="shared" si="1"/>
        <v>0</v>
      </c>
      <c r="H13" s="25">
        <f t="shared" si="2"/>
        <v>0</v>
      </c>
      <c r="I13" s="20">
        <f>SUMIF('ورود روزانه'!$D$3:$D$200,$A13,'ورود روزانه'!$T$3:$T$200)</f>
        <v>0</v>
      </c>
      <c r="J13" s="20">
        <f>SUMIF('ورود روزانه'!$D$3:$D$200,$A13,'ورود روزانه'!$S$3:$S$200)</f>
        <v>0</v>
      </c>
      <c r="K13" s="20">
        <f>COUNTIFS('لکسیون'!$E$3:$E$82,"&gt;="&amp;$B13,'لکسیون'!$E$3:$E$82,"&lt;="&amp;$C13,'لکسیون'!$I$3:$I$82,"بسته")</f>
        <v>0</v>
      </c>
      <c r="L13" s="20" t="str">
        <f t="shared" si="3"/>
        <v>—</v>
      </c>
      <c r="M13" s="28"/>
      <c r="N13" s="28"/>
      <c r="O13" s="28"/>
      <c r="P13" s="29">
        <f>SUMIF('ورود روزانه'!$D$3:$D$200,$A13,'ورود روزانه'!$Y$3:$Y$200)</f>
        <v>0</v>
      </c>
      <c r="Q13" s="29">
        <f t="shared" si="4"/>
        <v>0</v>
      </c>
    </row>
    <row r="14" ht="30.0" customHeight="1">
      <c r="A14" s="12">
        <v>12.0</v>
      </c>
      <c r="B14" s="13">
        <v>46348.0</v>
      </c>
      <c r="C14" s="13">
        <v>46354.0</v>
      </c>
      <c r="D14" s="12">
        <v>2.0</v>
      </c>
      <c r="E14" s="47" t="s">
        <v>197</v>
      </c>
      <c r="F14" s="20">
        <f>SUMIF('ورود روزانه'!$D$3:$D$200,$A14,'ورود روزانه'!$L$3:$L$200)</f>
        <v>0</v>
      </c>
      <c r="G14" s="20">
        <f t="shared" si="1"/>
        <v>0</v>
      </c>
      <c r="H14" s="25">
        <f t="shared" si="2"/>
        <v>0</v>
      </c>
      <c r="I14" s="20">
        <f>SUMIF('ورود روزانه'!$D$3:$D$200,$A14,'ورود روزانه'!$T$3:$T$200)</f>
        <v>0</v>
      </c>
      <c r="J14" s="20">
        <f>SUMIF('ورود روزانه'!$D$3:$D$200,$A14,'ورود روزانه'!$S$3:$S$200)</f>
        <v>0</v>
      </c>
      <c r="K14" s="20">
        <f>COUNTIFS('لکسیون'!$E$3:$E$82,"&gt;="&amp;$B14,'لکسیون'!$E$3:$E$82,"&lt;="&amp;$C14,'لکسیون'!$I$3:$I$82,"بسته")</f>
        <v>0</v>
      </c>
      <c r="L14" s="20" t="str">
        <f t="shared" si="3"/>
        <v>—</v>
      </c>
      <c r="M14" s="28"/>
      <c r="N14" s="28"/>
      <c r="O14" s="28"/>
      <c r="P14" s="29">
        <f>SUMIF('ورود روزانه'!$D$3:$D$200,$A14,'ورود روزانه'!$Y$3:$Y$200)</f>
        <v>0</v>
      </c>
      <c r="Q14" s="29">
        <f t="shared" si="4"/>
        <v>0</v>
      </c>
    </row>
    <row r="15" ht="30.0" customHeight="1">
      <c r="A15" s="12">
        <v>13.0</v>
      </c>
      <c r="B15" s="13">
        <v>46355.0</v>
      </c>
      <c r="C15" s="13">
        <v>46361.0</v>
      </c>
      <c r="D15" s="12">
        <v>2.0</v>
      </c>
      <c r="E15" s="47" t="s">
        <v>202</v>
      </c>
      <c r="F15" s="20">
        <f>SUMIF('ورود روزانه'!$D$3:$D$200,$A15,'ورود روزانه'!$L$3:$L$200)</f>
        <v>0</v>
      </c>
      <c r="G15" s="20">
        <f t="shared" si="1"/>
        <v>0</v>
      </c>
      <c r="H15" s="25">
        <f t="shared" si="2"/>
        <v>0</v>
      </c>
      <c r="I15" s="20">
        <f>SUMIF('ورود روزانه'!$D$3:$D$200,$A15,'ورود روزانه'!$T$3:$T$200)</f>
        <v>0</v>
      </c>
      <c r="J15" s="20">
        <f>SUMIF('ورود روزانه'!$D$3:$D$200,$A15,'ورود روزانه'!$S$3:$S$200)</f>
        <v>0</v>
      </c>
      <c r="K15" s="20">
        <f>COUNTIFS('لکسیون'!$E$3:$E$82,"&gt;="&amp;$B15,'لکسیون'!$E$3:$E$82,"&lt;="&amp;$C15,'لکسیون'!$I$3:$I$82,"بسته")</f>
        <v>0</v>
      </c>
      <c r="L15" s="20" t="str">
        <f t="shared" si="3"/>
        <v>—</v>
      </c>
      <c r="M15" s="28"/>
      <c r="N15" s="28"/>
      <c r="O15" s="28"/>
      <c r="P15" s="29">
        <f>SUMIF('ورود روزانه'!$D$3:$D$200,$A15,'ورود روزانه'!$Y$3:$Y$200)</f>
        <v>0</v>
      </c>
      <c r="Q15" s="29">
        <f t="shared" si="4"/>
        <v>0</v>
      </c>
    </row>
    <row r="16" ht="30.0" customHeight="1">
      <c r="A16" s="12">
        <v>14.0</v>
      </c>
      <c r="B16" s="13">
        <v>46362.0</v>
      </c>
      <c r="C16" s="13">
        <v>46368.0</v>
      </c>
      <c r="D16" s="12">
        <v>3.0</v>
      </c>
      <c r="E16" s="17" t="s">
        <v>208</v>
      </c>
      <c r="F16" s="20">
        <f>SUMIF('ورود روزانه'!$D$3:$D$200,$A16,'ورود روزانه'!$L$3:$L$200)</f>
        <v>0</v>
      </c>
      <c r="G16" s="20">
        <f t="shared" si="1"/>
        <v>0</v>
      </c>
      <c r="H16" s="25">
        <f t="shared" si="2"/>
        <v>0</v>
      </c>
      <c r="I16" s="20">
        <f>SUMIF('ورود روزانه'!$D$3:$D$200,$A16,'ورود روزانه'!$T$3:$T$200)</f>
        <v>0</v>
      </c>
      <c r="J16" s="20">
        <f>SUMIF('ورود روزانه'!$D$3:$D$200,$A16,'ورود روزانه'!$S$3:$S$200)</f>
        <v>0</v>
      </c>
      <c r="K16" s="20">
        <f>COUNTIFS('لکسیون'!$E$3:$E$82,"&gt;="&amp;$B16,'لکسیون'!$E$3:$E$82,"&lt;="&amp;$C16,'لکسیون'!$I$3:$I$82,"بسته")</f>
        <v>0</v>
      </c>
      <c r="L16" s="20" t="str">
        <f t="shared" si="3"/>
        <v>—</v>
      </c>
      <c r="M16" s="28"/>
      <c r="N16" s="28"/>
      <c r="O16" s="28"/>
      <c r="P16" s="29">
        <f>SUMIF('ورود روزانه'!$D$3:$D$200,$A16,'ورود روزانه'!$Y$3:$Y$200)</f>
        <v>0</v>
      </c>
      <c r="Q16" s="29">
        <f t="shared" si="4"/>
        <v>0</v>
      </c>
    </row>
    <row r="17" ht="30.0" customHeight="1">
      <c r="A17" s="12">
        <v>15.0</v>
      </c>
      <c r="B17" s="13">
        <v>46369.0</v>
      </c>
      <c r="C17" s="13">
        <v>46375.0</v>
      </c>
      <c r="D17" s="12">
        <v>3.0</v>
      </c>
      <c r="E17" s="17" t="s">
        <v>214</v>
      </c>
      <c r="F17" s="20">
        <f>SUMIF('ورود روزانه'!$D$3:$D$200,$A17,'ورود روزانه'!$L$3:$L$200)</f>
        <v>0</v>
      </c>
      <c r="G17" s="20">
        <f t="shared" si="1"/>
        <v>0</v>
      </c>
      <c r="H17" s="25">
        <f t="shared" si="2"/>
        <v>0</v>
      </c>
      <c r="I17" s="20">
        <f>SUMIF('ورود روزانه'!$D$3:$D$200,$A17,'ورود روزانه'!$T$3:$T$200)</f>
        <v>0</v>
      </c>
      <c r="J17" s="20">
        <f>SUMIF('ورود روزانه'!$D$3:$D$200,$A17,'ورود روزانه'!$S$3:$S$200)</f>
        <v>0</v>
      </c>
      <c r="K17" s="20">
        <f>COUNTIFS('لکسیون'!$E$3:$E$82,"&gt;="&amp;$B17,'لکسیون'!$E$3:$E$82,"&lt;="&amp;$C17,'لکسیون'!$I$3:$I$82,"بسته")</f>
        <v>0</v>
      </c>
      <c r="L17" s="20" t="str">
        <f t="shared" si="3"/>
        <v>—</v>
      </c>
      <c r="M17" s="28"/>
      <c r="N17" s="28"/>
      <c r="O17" s="28"/>
      <c r="P17" s="29">
        <f>SUMIF('ورود روزانه'!$D$3:$D$200,$A17,'ورود روزانه'!$Y$3:$Y$200)</f>
        <v>0</v>
      </c>
      <c r="Q17" s="29">
        <f t="shared" si="4"/>
        <v>0</v>
      </c>
    </row>
    <row r="18" ht="30.0" customHeight="1">
      <c r="A18" s="12">
        <v>16.0</v>
      </c>
      <c r="B18" s="13">
        <v>46376.0</v>
      </c>
      <c r="C18" s="13">
        <v>46382.0</v>
      </c>
      <c r="D18" s="12">
        <v>3.0</v>
      </c>
      <c r="E18" s="17" t="s">
        <v>219</v>
      </c>
      <c r="F18" s="20">
        <f>SUMIF('ورود روزانه'!$D$3:$D$200,$A18,'ورود روزانه'!$L$3:$L$200)</f>
        <v>0</v>
      </c>
      <c r="G18" s="20">
        <f t="shared" si="1"/>
        <v>0</v>
      </c>
      <c r="H18" s="25">
        <f t="shared" si="2"/>
        <v>0</v>
      </c>
      <c r="I18" s="20">
        <f>SUMIF('ورود روزانه'!$D$3:$D$200,$A18,'ورود روزانه'!$T$3:$T$200)</f>
        <v>0</v>
      </c>
      <c r="J18" s="20">
        <f>SUMIF('ورود روزانه'!$D$3:$D$200,$A18,'ورود روزانه'!$S$3:$S$200)</f>
        <v>0</v>
      </c>
      <c r="K18" s="20">
        <f>COUNTIFS('لکسیون'!$E$3:$E$82,"&gt;="&amp;$B18,'لکسیون'!$E$3:$E$82,"&lt;="&amp;$C18,'لکسیون'!$I$3:$I$82,"بسته")</f>
        <v>0</v>
      </c>
      <c r="L18" s="20" t="str">
        <f t="shared" si="3"/>
        <v>—</v>
      </c>
      <c r="M18" s="28"/>
      <c r="N18" s="28"/>
      <c r="O18" s="28"/>
      <c r="P18" s="29">
        <f>SUMIF('ورود روزانه'!$D$3:$D$200,$A18,'ورود روزانه'!$Y$3:$Y$200)</f>
        <v>0</v>
      </c>
      <c r="Q18" s="29">
        <f t="shared" si="4"/>
        <v>0</v>
      </c>
    </row>
    <row r="19" ht="30.0" customHeight="1">
      <c r="A19" s="12">
        <v>17.0</v>
      </c>
      <c r="B19" s="13">
        <v>46383.0</v>
      </c>
      <c r="C19" s="13">
        <v>46389.0</v>
      </c>
      <c r="D19" s="12">
        <v>3.0</v>
      </c>
      <c r="E19" s="17" t="s">
        <v>224</v>
      </c>
      <c r="F19" s="20">
        <f>SUMIF('ورود روزانه'!$D$3:$D$200,$A19,'ورود روزانه'!$L$3:$L$200)</f>
        <v>0</v>
      </c>
      <c r="G19" s="20">
        <f t="shared" si="1"/>
        <v>0</v>
      </c>
      <c r="H19" s="25">
        <f t="shared" si="2"/>
        <v>0</v>
      </c>
      <c r="I19" s="20">
        <f>SUMIF('ورود روزانه'!$D$3:$D$200,$A19,'ورود روزانه'!$T$3:$T$200)</f>
        <v>0</v>
      </c>
      <c r="J19" s="20">
        <f>SUMIF('ورود روزانه'!$D$3:$D$200,$A19,'ورود روزانه'!$S$3:$S$200)</f>
        <v>0</v>
      </c>
      <c r="K19" s="20">
        <f>COUNTIFS('لکسیون'!$E$3:$E$82,"&gt;="&amp;$B19,'لکسیون'!$E$3:$E$82,"&lt;="&amp;$C19,'لکسیون'!$I$3:$I$82,"بسته")</f>
        <v>0</v>
      </c>
      <c r="L19" s="20" t="str">
        <f t="shared" si="3"/>
        <v>—</v>
      </c>
      <c r="M19" s="28"/>
      <c r="N19" s="28"/>
      <c r="O19" s="28"/>
      <c r="P19" s="29">
        <f>SUMIF('ورود روزانه'!$D$3:$D$200,$A19,'ورود روزانه'!$Y$3:$Y$200)</f>
        <v>0</v>
      </c>
      <c r="Q19" s="29">
        <f t="shared" si="4"/>
        <v>0</v>
      </c>
    </row>
    <row r="20" ht="30.0" customHeight="1">
      <c r="A20" s="12">
        <v>18.0</v>
      </c>
      <c r="B20" s="13">
        <v>46390.0</v>
      </c>
      <c r="C20" s="13">
        <v>46396.0</v>
      </c>
      <c r="D20" s="12">
        <v>3.0</v>
      </c>
      <c r="E20" s="17" t="s">
        <v>229</v>
      </c>
      <c r="F20" s="20">
        <f>SUMIF('ورود روزانه'!$D$3:$D$200,$A20,'ورود روزانه'!$L$3:$L$200)</f>
        <v>0</v>
      </c>
      <c r="G20" s="20">
        <f t="shared" si="1"/>
        <v>0</v>
      </c>
      <c r="H20" s="25">
        <f t="shared" si="2"/>
        <v>0</v>
      </c>
      <c r="I20" s="20">
        <f>SUMIF('ورود روزانه'!$D$3:$D$200,$A20,'ورود روزانه'!$T$3:$T$200)</f>
        <v>0</v>
      </c>
      <c r="J20" s="20">
        <f>SUMIF('ورود روزانه'!$D$3:$D$200,$A20,'ورود روزانه'!$S$3:$S$200)</f>
        <v>0</v>
      </c>
      <c r="K20" s="20">
        <f>COUNTIFS('لکسیون'!$E$3:$E$82,"&gt;="&amp;$B20,'لکسیون'!$E$3:$E$82,"&lt;="&amp;$C20,'لکسیون'!$I$3:$I$82,"بسته")</f>
        <v>0</v>
      </c>
      <c r="L20" s="20" t="str">
        <f t="shared" si="3"/>
        <v>—</v>
      </c>
      <c r="M20" s="28"/>
      <c r="N20" s="28"/>
      <c r="O20" s="28"/>
      <c r="P20" s="29">
        <f>SUMIF('ورود روزانه'!$D$3:$D$200,$A20,'ورود روزانه'!$Y$3:$Y$200)</f>
        <v>0</v>
      </c>
      <c r="Q20" s="29">
        <f t="shared" si="4"/>
        <v>0</v>
      </c>
    </row>
    <row r="21" ht="30.0" customHeight="1">
      <c r="A21" s="12">
        <v>19.0</v>
      </c>
      <c r="B21" s="13">
        <v>46397.0</v>
      </c>
      <c r="C21" s="13">
        <v>46403.0</v>
      </c>
      <c r="D21" s="12">
        <v>3.0</v>
      </c>
      <c r="E21" s="17" t="s">
        <v>234</v>
      </c>
      <c r="F21" s="20">
        <f>SUMIF('ورود روزانه'!$D$3:$D$200,$A21,'ورود روزانه'!$L$3:$L$200)</f>
        <v>0</v>
      </c>
      <c r="G21" s="20">
        <f t="shared" si="1"/>
        <v>0</v>
      </c>
      <c r="H21" s="25">
        <f t="shared" si="2"/>
        <v>0</v>
      </c>
      <c r="I21" s="20">
        <f>SUMIF('ورود روزانه'!$D$3:$D$200,$A21,'ورود روزانه'!$T$3:$T$200)</f>
        <v>0</v>
      </c>
      <c r="J21" s="20">
        <f>SUMIF('ورود روزانه'!$D$3:$D$200,$A21,'ورود روزانه'!$S$3:$S$200)</f>
        <v>0</v>
      </c>
      <c r="K21" s="20">
        <f>COUNTIFS('لکسیون'!$E$3:$E$82,"&gt;="&amp;$B21,'لکسیون'!$E$3:$E$82,"&lt;="&amp;$C21,'لکسیون'!$I$3:$I$82,"بسته")</f>
        <v>0</v>
      </c>
      <c r="L21" s="20" t="str">
        <f t="shared" si="3"/>
        <v>—</v>
      </c>
      <c r="M21" s="28"/>
      <c r="N21" s="28"/>
      <c r="O21" s="28"/>
      <c r="P21" s="29">
        <f>SUMIF('ورود روزانه'!$D$3:$D$200,$A21,'ورود روزانه'!$Y$3:$Y$200)</f>
        <v>0</v>
      </c>
      <c r="Q21" s="29">
        <f t="shared" si="4"/>
        <v>0</v>
      </c>
    </row>
    <row r="22" ht="30.0" customHeight="1">
      <c r="A22" s="12">
        <v>20.0</v>
      </c>
      <c r="B22" s="13">
        <v>46404.0</v>
      </c>
      <c r="C22" s="13">
        <v>46410.0</v>
      </c>
      <c r="D22" s="12">
        <v>3.0</v>
      </c>
      <c r="E22" s="17" t="s">
        <v>239</v>
      </c>
      <c r="F22" s="20">
        <f>SUMIF('ورود روزانه'!$D$3:$D$200,$A22,'ورود روزانه'!$L$3:$L$200)</f>
        <v>0</v>
      </c>
      <c r="G22" s="20">
        <f t="shared" si="1"/>
        <v>0</v>
      </c>
      <c r="H22" s="25">
        <f t="shared" si="2"/>
        <v>0</v>
      </c>
      <c r="I22" s="20">
        <f>SUMIF('ورود روزانه'!$D$3:$D$200,$A22,'ورود روزانه'!$T$3:$T$200)</f>
        <v>0</v>
      </c>
      <c r="J22" s="20">
        <f>SUMIF('ورود روزانه'!$D$3:$D$200,$A22,'ورود روزانه'!$S$3:$S$200)</f>
        <v>0</v>
      </c>
      <c r="K22" s="20">
        <f>COUNTIFS('لکسیون'!$E$3:$E$82,"&gt;="&amp;$B22,'لکسیون'!$E$3:$E$82,"&lt;="&amp;$C22,'لکسیون'!$I$3:$I$82,"بسته")</f>
        <v>0</v>
      </c>
      <c r="L22" s="20" t="str">
        <f t="shared" si="3"/>
        <v>—</v>
      </c>
      <c r="M22" s="28"/>
      <c r="N22" s="28"/>
      <c r="O22" s="28"/>
      <c r="P22" s="29">
        <f>SUMIF('ورود روزانه'!$D$3:$D$200,$A22,'ورود روزانه'!$Y$3:$Y$200)</f>
        <v>0</v>
      </c>
      <c r="Q22" s="29">
        <f t="shared" si="4"/>
        <v>0</v>
      </c>
    </row>
    <row r="23" ht="30.0" customHeight="1">
      <c r="A23" s="12">
        <v>21.0</v>
      </c>
      <c r="B23" s="13">
        <v>46411.0</v>
      </c>
      <c r="C23" s="13">
        <v>46417.0</v>
      </c>
      <c r="D23" s="12">
        <v>4.0</v>
      </c>
      <c r="E23" s="47" t="s">
        <v>244</v>
      </c>
      <c r="F23" s="20">
        <f>SUMIF('ورود روزانه'!$D$3:$D$200,$A23,'ورود روزانه'!$L$3:$L$200)</f>
        <v>0</v>
      </c>
      <c r="G23" s="20">
        <f t="shared" si="1"/>
        <v>0</v>
      </c>
      <c r="H23" s="25">
        <f t="shared" si="2"/>
        <v>0</v>
      </c>
      <c r="I23" s="20">
        <f>SUMIF('ورود روزانه'!$D$3:$D$200,$A23,'ورود روزانه'!$T$3:$T$200)</f>
        <v>0</v>
      </c>
      <c r="J23" s="20">
        <f>SUMIF('ورود روزانه'!$D$3:$D$200,$A23,'ورود روزانه'!$S$3:$S$200)</f>
        <v>0</v>
      </c>
      <c r="K23" s="20">
        <f>COUNTIFS('لکسیون'!$E$3:$E$82,"&gt;="&amp;$B23,'لکسیون'!$E$3:$E$82,"&lt;="&amp;$C23,'لکسیون'!$I$3:$I$82,"بسته")</f>
        <v>0</v>
      </c>
      <c r="L23" s="20" t="str">
        <f t="shared" si="3"/>
        <v>—</v>
      </c>
      <c r="M23" s="28"/>
      <c r="N23" s="28"/>
      <c r="O23" s="28"/>
      <c r="P23" s="29">
        <f>SUMIF('ورود روزانه'!$D$3:$D$200,$A23,'ورود روزانه'!$Y$3:$Y$200)</f>
        <v>0</v>
      </c>
      <c r="Q23" s="29">
        <f t="shared" si="4"/>
        <v>0</v>
      </c>
    </row>
    <row r="24" ht="30.0" customHeight="1">
      <c r="A24" s="12">
        <v>22.0</v>
      </c>
      <c r="B24" s="13">
        <v>46418.0</v>
      </c>
      <c r="C24" s="13">
        <v>46424.0</v>
      </c>
      <c r="D24" s="12">
        <v>4.0</v>
      </c>
      <c r="E24" s="47" t="s">
        <v>248</v>
      </c>
      <c r="F24" s="20">
        <f>SUMIF('ورود روزانه'!$D$3:$D$200,$A24,'ورود روزانه'!$L$3:$L$200)</f>
        <v>0</v>
      </c>
      <c r="G24" s="20">
        <f t="shared" si="1"/>
        <v>0</v>
      </c>
      <c r="H24" s="25">
        <f t="shared" si="2"/>
        <v>0</v>
      </c>
      <c r="I24" s="20">
        <f>SUMIF('ورود روزانه'!$D$3:$D$200,$A24,'ورود روزانه'!$T$3:$T$200)</f>
        <v>0</v>
      </c>
      <c r="J24" s="20">
        <f>SUMIF('ورود روزانه'!$D$3:$D$200,$A24,'ورود روزانه'!$S$3:$S$200)</f>
        <v>0</v>
      </c>
      <c r="K24" s="20">
        <f>COUNTIFS('لکسیون'!$E$3:$E$82,"&gt;="&amp;$B24,'لکسیون'!$E$3:$E$82,"&lt;="&amp;$C24,'لکسیون'!$I$3:$I$82,"بسته")</f>
        <v>0</v>
      </c>
      <c r="L24" s="20" t="str">
        <f t="shared" si="3"/>
        <v>—</v>
      </c>
      <c r="M24" s="28"/>
      <c r="N24" s="28"/>
      <c r="O24" s="28"/>
      <c r="P24" s="29">
        <f>SUMIF('ورود روزانه'!$D$3:$D$200,$A24,'ورود روزانه'!$Y$3:$Y$200)</f>
        <v>0</v>
      </c>
      <c r="Q24" s="29">
        <f t="shared" si="4"/>
        <v>0</v>
      </c>
    </row>
    <row r="25" ht="30.0" customHeight="1">
      <c r="A25" s="12">
        <v>23.0</v>
      </c>
      <c r="B25" s="13">
        <v>46425.0</v>
      </c>
      <c r="C25" s="13">
        <v>46431.0</v>
      </c>
      <c r="D25" s="12">
        <v>4.0</v>
      </c>
      <c r="E25" s="47" t="s">
        <v>253</v>
      </c>
      <c r="F25" s="20">
        <f>SUMIF('ورود روزانه'!$D$3:$D$200,$A25,'ورود روزانه'!$L$3:$L$200)</f>
        <v>0</v>
      </c>
      <c r="G25" s="20">
        <f t="shared" si="1"/>
        <v>0</v>
      </c>
      <c r="H25" s="25">
        <f t="shared" si="2"/>
        <v>0</v>
      </c>
      <c r="I25" s="20">
        <f>SUMIF('ورود روزانه'!$D$3:$D$200,$A25,'ورود روزانه'!$T$3:$T$200)</f>
        <v>0</v>
      </c>
      <c r="J25" s="20">
        <f>SUMIF('ورود روزانه'!$D$3:$D$200,$A25,'ورود روزانه'!$S$3:$S$200)</f>
        <v>0</v>
      </c>
      <c r="K25" s="20">
        <f>COUNTIFS('لکسیون'!$E$3:$E$82,"&gt;="&amp;$B25,'لکسیون'!$E$3:$E$82,"&lt;="&amp;$C25,'لکسیون'!$I$3:$I$82,"بسته")</f>
        <v>0</v>
      </c>
      <c r="L25" s="20" t="str">
        <f t="shared" si="3"/>
        <v>—</v>
      </c>
      <c r="M25" s="28"/>
      <c r="N25" s="28"/>
      <c r="O25" s="28"/>
      <c r="P25" s="29">
        <f>SUMIF('ورود روزانه'!$D$3:$D$200,$A25,'ورود روزانه'!$Y$3:$Y$200)</f>
        <v>0</v>
      </c>
      <c r="Q25" s="29">
        <f t="shared" si="4"/>
        <v>0</v>
      </c>
    </row>
    <row r="26" ht="30.0" customHeight="1">
      <c r="A26" s="12">
        <v>24.0</v>
      </c>
      <c r="B26" s="13">
        <v>46432.0</v>
      </c>
      <c r="C26" s="13">
        <v>46438.0</v>
      </c>
      <c r="D26" s="12">
        <v>4.0</v>
      </c>
      <c r="E26" s="47" t="s">
        <v>258</v>
      </c>
      <c r="F26" s="20">
        <f>SUMIF('ورود روزانه'!$D$3:$D$200,$A26,'ورود روزانه'!$L$3:$L$200)</f>
        <v>0</v>
      </c>
      <c r="G26" s="20">
        <f t="shared" si="1"/>
        <v>0</v>
      </c>
      <c r="H26" s="25">
        <f t="shared" si="2"/>
        <v>0</v>
      </c>
      <c r="I26" s="20">
        <f>SUMIF('ورود روزانه'!$D$3:$D$200,$A26,'ورود روزانه'!$T$3:$T$200)</f>
        <v>0</v>
      </c>
      <c r="J26" s="20">
        <f>SUMIF('ورود روزانه'!$D$3:$D$200,$A26,'ورود روزانه'!$S$3:$S$200)</f>
        <v>0</v>
      </c>
      <c r="K26" s="20">
        <f>COUNTIFS('لکسیون'!$E$3:$E$82,"&gt;="&amp;$B26,'لکسیون'!$E$3:$E$82,"&lt;="&amp;$C26,'لکسیون'!$I$3:$I$82,"بسته")</f>
        <v>0</v>
      </c>
      <c r="L26" s="20" t="str">
        <f t="shared" si="3"/>
        <v>—</v>
      </c>
      <c r="M26" s="28"/>
      <c r="N26" s="28"/>
      <c r="O26" s="28"/>
      <c r="P26" s="29">
        <f>SUMIF('ورود روزانه'!$D$3:$D$200,$A26,'ورود روزانه'!$Y$3:$Y$200)</f>
        <v>0</v>
      </c>
      <c r="Q26" s="29">
        <f t="shared" si="4"/>
        <v>0</v>
      </c>
    </row>
    <row r="27" ht="30.0" customHeight="1">
      <c r="A27" s="12">
        <v>25.0</v>
      </c>
      <c r="B27" s="13">
        <v>46439.0</v>
      </c>
      <c r="C27" s="13">
        <v>46445.0</v>
      </c>
      <c r="D27" s="12">
        <v>4.0</v>
      </c>
      <c r="E27" s="47" t="s">
        <v>264</v>
      </c>
      <c r="F27" s="20">
        <f>SUMIF('ورود روزانه'!$D$3:$D$200,$A27,'ورود روزانه'!$L$3:$L$200)</f>
        <v>0</v>
      </c>
      <c r="G27" s="20">
        <f t="shared" si="1"/>
        <v>0</v>
      </c>
      <c r="H27" s="25">
        <f t="shared" si="2"/>
        <v>0</v>
      </c>
      <c r="I27" s="20">
        <f>SUMIF('ورود روزانه'!$D$3:$D$200,$A27,'ورود روزانه'!$T$3:$T$200)</f>
        <v>0</v>
      </c>
      <c r="J27" s="20">
        <f>SUMIF('ورود روزانه'!$D$3:$D$200,$A27,'ورود روزانه'!$S$3:$S$200)</f>
        <v>0</v>
      </c>
      <c r="K27" s="20">
        <f>COUNTIFS('لکسیون'!$E$3:$E$82,"&gt;="&amp;$B27,'لکسیون'!$E$3:$E$82,"&lt;="&amp;$C27,'لکسیون'!$I$3:$I$82,"بسته")</f>
        <v>0</v>
      </c>
      <c r="L27" s="20" t="str">
        <f t="shared" si="3"/>
        <v>—</v>
      </c>
      <c r="M27" s="28"/>
      <c r="N27" s="28"/>
      <c r="O27" s="28"/>
      <c r="P27" s="29">
        <f>SUMIF('ورود روزانه'!$D$3:$D$200,$A27,'ورود روزانه'!$Y$3:$Y$200)</f>
        <v>0</v>
      </c>
      <c r="Q27" s="29">
        <f t="shared" si="4"/>
        <v>0</v>
      </c>
    </row>
    <row r="28" ht="30.0" customHeight="1">
      <c r="A28" s="12">
        <v>26.0</v>
      </c>
      <c r="B28" s="13">
        <v>46446.0</v>
      </c>
      <c r="C28" s="13">
        <v>46452.0</v>
      </c>
      <c r="D28" s="12">
        <v>5.0</v>
      </c>
      <c r="E28" s="17" t="s">
        <v>269</v>
      </c>
      <c r="F28" s="20">
        <f>SUMIF('ورود روزانه'!$D$3:$D$200,$A28,'ورود روزانه'!$L$3:$L$200)</f>
        <v>0</v>
      </c>
      <c r="G28" s="20">
        <f t="shared" si="1"/>
        <v>0</v>
      </c>
      <c r="H28" s="25">
        <f t="shared" si="2"/>
        <v>0</v>
      </c>
      <c r="I28" s="20">
        <f>SUMIF('ورود روزانه'!$D$3:$D$200,$A28,'ورود روزانه'!$T$3:$T$200)</f>
        <v>0</v>
      </c>
      <c r="J28" s="20">
        <f>SUMIF('ورود روزانه'!$D$3:$D$200,$A28,'ورود روزانه'!$S$3:$S$200)</f>
        <v>0</v>
      </c>
      <c r="K28" s="20">
        <f>COUNTIFS('لکسیون'!$E$3:$E$82,"&gt;="&amp;$B28,'لکسیون'!$E$3:$E$82,"&lt;="&amp;$C28,'لکسیون'!$I$3:$I$82,"بسته")</f>
        <v>0</v>
      </c>
      <c r="L28" s="20" t="str">
        <f t="shared" si="3"/>
        <v>—</v>
      </c>
      <c r="M28" s="28"/>
      <c r="N28" s="28"/>
      <c r="O28" s="28"/>
      <c r="P28" s="29">
        <f>SUMIF('ورود روزانه'!$D$3:$D$200,$A28,'ورود روزانه'!$Y$3:$Y$200)</f>
        <v>0</v>
      </c>
      <c r="Q28" s="29">
        <f t="shared" si="4"/>
        <v>0</v>
      </c>
    </row>
    <row r="29" ht="30.0" customHeight="1">
      <c r="A29" s="12">
        <v>27.0</v>
      </c>
      <c r="B29" s="13">
        <v>46453.0</v>
      </c>
      <c r="C29" s="13">
        <v>46459.0</v>
      </c>
      <c r="D29" s="12">
        <v>5.0</v>
      </c>
      <c r="E29" s="17" t="s">
        <v>275</v>
      </c>
      <c r="F29" s="20">
        <f>SUMIF('ورود روزانه'!$D$3:$D$200,$A29,'ورود روزانه'!$L$3:$L$200)</f>
        <v>0</v>
      </c>
      <c r="G29" s="20">
        <f t="shared" si="1"/>
        <v>0</v>
      </c>
      <c r="H29" s="25">
        <f t="shared" si="2"/>
        <v>0</v>
      </c>
      <c r="I29" s="20">
        <f>SUMIF('ورود روزانه'!$D$3:$D$200,$A29,'ورود روزانه'!$T$3:$T$200)</f>
        <v>0</v>
      </c>
      <c r="J29" s="20">
        <f>SUMIF('ورود روزانه'!$D$3:$D$200,$A29,'ورود روزانه'!$S$3:$S$200)</f>
        <v>0</v>
      </c>
      <c r="K29" s="20">
        <f>COUNTIFS('لکسیون'!$E$3:$E$82,"&gt;="&amp;$B29,'لکسیون'!$E$3:$E$82,"&lt;="&amp;$C29,'لکسیون'!$I$3:$I$82,"بسته")</f>
        <v>0</v>
      </c>
      <c r="L29" s="20" t="str">
        <f t="shared" si="3"/>
        <v>—</v>
      </c>
      <c r="M29" s="28"/>
      <c r="N29" s="28"/>
      <c r="O29" s="28"/>
      <c r="P29" s="29">
        <f>SUMIF('ورود روزانه'!$D$3:$D$200,$A29,'ورود روزانه'!$Y$3:$Y$200)</f>
        <v>0</v>
      </c>
      <c r="Q29" s="29">
        <f t="shared" si="4"/>
        <v>0</v>
      </c>
    </row>
    <row r="30" ht="30.0" customHeight="1">
      <c r="A30" s="12">
        <v>28.0</v>
      </c>
      <c r="B30" s="13">
        <v>46460.0</v>
      </c>
      <c r="C30" s="13">
        <v>46466.0</v>
      </c>
      <c r="D30" s="12">
        <v>5.0</v>
      </c>
      <c r="E30" s="17" t="s">
        <v>280</v>
      </c>
      <c r="F30" s="20">
        <f>SUMIF('ورود روزانه'!$D$3:$D$200,$A30,'ورود روزانه'!$L$3:$L$200)</f>
        <v>0</v>
      </c>
      <c r="G30" s="20">
        <f t="shared" si="1"/>
        <v>0</v>
      </c>
      <c r="H30" s="25">
        <f t="shared" si="2"/>
        <v>0</v>
      </c>
      <c r="I30" s="20">
        <f>SUMIF('ورود روزانه'!$D$3:$D$200,$A30,'ورود روزانه'!$T$3:$T$200)</f>
        <v>0</v>
      </c>
      <c r="J30" s="20">
        <f>SUMIF('ورود روزانه'!$D$3:$D$200,$A30,'ورود روزانه'!$S$3:$S$200)</f>
        <v>0</v>
      </c>
      <c r="K30" s="20">
        <f>COUNTIFS('لکسیون'!$E$3:$E$82,"&gt;="&amp;$B30,'لکسیون'!$E$3:$E$82,"&lt;="&amp;$C30,'لکسیون'!$I$3:$I$82,"بسته")</f>
        <v>0</v>
      </c>
      <c r="L30" s="20" t="str">
        <f t="shared" si="3"/>
        <v>—</v>
      </c>
      <c r="M30" s="28"/>
      <c r="N30" s="28"/>
      <c r="O30" s="28"/>
      <c r="P30" s="29">
        <f>SUMIF('ورود روزانه'!$D$3:$D$200,$A30,'ورود روزانه'!$Y$3:$Y$200)</f>
        <v>0</v>
      </c>
      <c r="Q30" s="29">
        <f t="shared" si="4"/>
        <v>0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conditionalFormatting sqref="L3:L30">
    <cfRule type="cellIs" dxfId="3" priority="1" operator="equal">
      <formula>"عالی"</formula>
    </cfRule>
  </conditionalFormatting>
  <conditionalFormatting sqref="L3:L30">
    <cfRule type="cellIs" dxfId="4" priority="2" operator="equal">
      <formula>"خوب"</formula>
    </cfRule>
  </conditionalFormatting>
  <conditionalFormatting sqref="L3:L30">
    <cfRule type="cellIs" dxfId="5" priority="3" operator="equal">
      <formula>"هشدار"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3" width="11.0"/>
    <col customWidth="1" min="4" max="4" width="7.0"/>
    <col customWidth="1" min="5" max="5" width="10.0"/>
    <col customWidth="1" min="6" max="9" width="9.0"/>
    <col customWidth="1" min="10" max="10" width="10.0"/>
    <col customWidth="1" min="11" max="11" width="11.0"/>
    <col customWidth="1" min="12" max="12" width="14.0"/>
    <col customWidth="1" min="13" max="13" width="40.0"/>
    <col customWidth="1" min="14" max="15" width="11.0"/>
    <col customWidth="1" min="16" max="26" width="8.71"/>
  </cols>
  <sheetData>
    <row r="1" ht="21.75" customHeight="1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1.5" customHeight="1">
      <c r="A2" s="4" t="s">
        <v>5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21</v>
      </c>
      <c r="M2" s="4" t="s">
        <v>24</v>
      </c>
      <c r="N2" s="4" t="s">
        <v>27</v>
      </c>
      <c r="O2" s="4" t="s">
        <v>29</v>
      </c>
    </row>
    <row r="3" ht="27.75" customHeight="1">
      <c r="A3" s="9" t="s">
        <v>36</v>
      </c>
      <c r="B3" s="11">
        <v>46271.0</v>
      </c>
      <c r="C3" s="11">
        <v>46287.0</v>
      </c>
      <c r="D3" s="14">
        <v>17.0</v>
      </c>
      <c r="E3" s="20">
        <f>SUMIF('ورود روزانه'!$E$3:$E$200,$A3,'ورود روزانه'!$L$3:$L$200)</f>
        <v>2445</v>
      </c>
      <c r="F3" s="20">
        <f t="shared" ref="F3:F9" si="1">ROUND(E3/60,1)</f>
        <v>40.8</v>
      </c>
      <c r="G3" s="25">
        <f t="shared" ref="G3:G9" si="2">IFERROR(E3/(255*ROUND($D3/7*6,0)),0)</f>
        <v>0.6392156863</v>
      </c>
      <c r="H3" s="20">
        <f>SUMIF('ورود روزانه'!$E$3:$E$200,$A3,'ورود روزانه'!$T$3:$T$200)</f>
        <v>13</v>
      </c>
      <c r="I3" s="20">
        <f t="shared" ref="I3:I9" si="3">IF($B3&gt;TODAY(),0,MAX(0,MIN($D3,TODAY()-$B3+1)-H3))</f>
        <v>4</v>
      </c>
      <c r="J3" s="25">
        <f>IFERROR(SUMIF('ورود روزانه'!$E$3:$E$200,$A3,'ورود روزانه'!$S$3:$S$200)/($D3*6),0)</f>
        <v>0.8431372549</v>
      </c>
      <c r="K3" s="20">
        <f>COUNTIFS('لکسیون'!$E$3:$E$82,"&gt;="&amp;$B3,'لکسیون'!$E$3:$E$82,"&lt;="&amp;$C3,'لکسیون'!$I$3:$I$82,"بسته")</f>
        <v>0</v>
      </c>
      <c r="L3" s="20">
        <f t="shared" ref="L3:L9" si="4">SUM($K$3:K3)+5</f>
        <v>5</v>
      </c>
      <c r="M3" s="28"/>
      <c r="N3" s="29">
        <f>SUMIF('ورود روزانه'!$E$3:$E$200,$A3,'ورود روزانه'!$Y$3:$Y$200)</f>
        <v>0</v>
      </c>
      <c r="O3" s="29">
        <f t="shared" ref="O3:O9" si="5">ROUND((E3+N3)/60,1)</f>
        <v>40.8</v>
      </c>
    </row>
    <row r="4" ht="27.75" customHeight="1">
      <c r="A4" s="9" t="s">
        <v>91</v>
      </c>
      <c r="B4" s="11">
        <v>46288.0</v>
      </c>
      <c r="C4" s="11">
        <v>46317.0</v>
      </c>
      <c r="D4" s="14">
        <v>30.0</v>
      </c>
      <c r="E4" s="20">
        <f>SUMIF('ورود روزانه'!$E$3:$E$200,$A4,'ورود روزانه'!$L$3:$L$200)</f>
        <v>0</v>
      </c>
      <c r="F4" s="20">
        <f t="shared" si="1"/>
        <v>0</v>
      </c>
      <c r="G4" s="25">
        <f t="shared" si="2"/>
        <v>0</v>
      </c>
      <c r="H4" s="20">
        <f>SUMIF('ورود روزانه'!$E$3:$E$200,$A4,'ورود روزانه'!$T$3:$T$200)</f>
        <v>0</v>
      </c>
      <c r="I4" s="20">
        <f t="shared" si="3"/>
        <v>0</v>
      </c>
      <c r="J4" s="25">
        <f>IFERROR(SUMIF('ورود روزانه'!$E$3:$E$200,$A4,'ورود روزانه'!$S$3:$S$200)/($D4*6),0)</f>
        <v>0</v>
      </c>
      <c r="K4" s="20">
        <f>COUNTIFS('لکسیون'!$E$3:$E$82,"&gt;="&amp;$B4,'لکسیون'!$E$3:$E$82,"&lt;="&amp;$C4,'لکسیون'!$I$3:$I$82,"بسته")</f>
        <v>0</v>
      </c>
      <c r="L4" s="20">
        <f t="shared" si="4"/>
        <v>5</v>
      </c>
      <c r="M4" s="28"/>
      <c r="N4" s="29">
        <f>SUMIF('ورود روزانه'!$E$3:$E$200,$A4,'ورود روزانه'!$Y$3:$Y$200)</f>
        <v>0</v>
      </c>
      <c r="O4" s="29">
        <f t="shared" si="5"/>
        <v>0</v>
      </c>
    </row>
    <row r="5" ht="27.75" customHeight="1">
      <c r="A5" s="9" t="s">
        <v>115</v>
      </c>
      <c r="B5" s="11">
        <v>46318.0</v>
      </c>
      <c r="C5" s="11">
        <v>46347.0</v>
      </c>
      <c r="D5" s="14">
        <v>30.0</v>
      </c>
      <c r="E5" s="20">
        <f>SUMIF('ورود روزانه'!$E$3:$E$200,$A5,'ورود روزانه'!$L$3:$L$200)</f>
        <v>0</v>
      </c>
      <c r="F5" s="20">
        <f t="shared" si="1"/>
        <v>0</v>
      </c>
      <c r="G5" s="25">
        <f t="shared" si="2"/>
        <v>0</v>
      </c>
      <c r="H5" s="20">
        <f>SUMIF('ورود روزانه'!$E$3:$E$200,$A5,'ورود روزانه'!$T$3:$T$200)</f>
        <v>0</v>
      </c>
      <c r="I5" s="20">
        <f t="shared" si="3"/>
        <v>0</v>
      </c>
      <c r="J5" s="25">
        <f>IFERROR(SUMIF('ورود روزانه'!$E$3:$E$200,$A5,'ورود روزانه'!$S$3:$S$200)/($D5*6),0)</f>
        <v>0</v>
      </c>
      <c r="K5" s="20">
        <f>COUNTIFS('لکسیون'!$E$3:$E$82,"&gt;="&amp;$B5,'لکسیون'!$E$3:$E$82,"&lt;="&amp;$C5,'لکسیون'!$I$3:$I$82,"بسته")</f>
        <v>0</v>
      </c>
      <c r="L5" s="20">
        <f t="shared" si="4"/>
        <v>5</v>
      </c>
      <c r="M5" s="28"/>
      <c r="N5" s="29">
        <f>SUMIF('ورود روزانه'!$E$3:$E$200,$A5,'ورود روزانه'!$Y$3:$Y$200)</f>
        <v>0</v>
      </c>
      <c r="O5" s="29">
        <f t="shared" si="5"/>
        <v>0</v>
      </c>
    </row>
    <row r="6" ht="27.75" customHeight="1">
      <c r="A6" s="9" t="s">
        <v>140</v>
      </c>
      <c r="B6" s="11">
        <v>46348.0</v>
      </c>
      <c r="C6" s="11">
        <v>46377.0</v>
      </c>
      <c r="D6" s="14">
        <v>30.0</v>
      </c>
      <c r="E6" s="20">
        <f>SUMIF('ورود روزانه'!$E$3:$E$200,$A6,'ورود روزانه'!$L$3:$L$200)</f>
        <v>0</v>
      </c>
      <c r="F6" s="20">
        <f t="shared" si="1"/>
        <v>0</v>
      </c>
      <c r="G6" s="25">
        <f t="shared" si="2"/>
        <v>0</v>
      </c>
      <c r="H6" s="20">
        <f>SUMIF('ورود روزانه'!$E$3:$E$200,$A6,'ورود روزانه'!$T$3:$T$200)</f>
        <v>0</v>
      </c>
      <c r="I6" s="20">
        <f t="shared" si="3"/>
        <v>0</v>
      </c>
      <c r="J6" s="25">
        <f>IFERROR(SUMIF('ورود روزانه'!$E$3:$E$200,$A6,'ورود روزانه'!$S$3:$S$200)/($D6*6),0)</f>
        <v>0</v>
      </c>
      <c r="K6" s="20">
        <f>COUNTIFS('لکسیون'!$E$3:$E$82,"&gt;="&amp;$B6,'لکسیون'!$E$3:$E$82,"&lt;="&amp;$C6,'لکسیون'!$I$3:$I$82,"بسته")</f>
        <v>0</v>
      </c>
      <c r="L6" s="20">
        <f t="shared" si="4"/>
        <v>5</v>
      </c>
      <c r="M6" s="28"/>
      <c r="N6" s="29">
        <f>SUMIF('ورود روزانه'!$E$3:$E$200,$A6,'ورود روزانه'!$Y$3:$Y$200)</f>
        <v>0</v>
      </c>
      <c r="O6" s="29">
        <f t="shared" si="5"/>
        <v>0</v>
      </c>
    </row>
    <row r="7" ht="27.75" customHeight="1">
      <c r="A7" s="9" t="s">
        <v>156</v>
      </c>
      <c r="B7" s="11">
        <v>46378.0</v>
      </c>
      <c r="C7" s="11">
        <v>46407.0</v>
      </c>
      <c r="D7" s="14">
        <v>30.0</v>
      </c>
      <c r="E7" s="20">
        <f>SUMIF('ورود روزانه'!$E$3:$E$200,$A7,'ورود روزانه'!$L$3:$L$200)</f>
        <v>0</v>
      </c>
      <c r="F7" s="20">
        <f t="shared" si="1"/>
        <v>0</v>
      </c>
      <c r="G7" s="25">
        <f t="shared" si="2"/>
        <v>0</v>
      </c>
      <c r="H7" s="20">
        <f>SUMIF('ورود روزانه'!$E$3:$E$200,$A7,'ورود روزانه'!$T$3:$T$200)</f>
        <v>0</v>
      </c>
      <c r="I7" s="20">
        <f t="shared" si="3"/>
        <v>0</v>
      </c>
      <c r="J7" s="25">
        <f>IFERROR(SUMIF('ورود روزانه'!$E$3:$E$200,$A7,'ورود روزانه'!$S$3:$S$200)/($D7*6),0)</f>
        <v>0</v>
      </c>
      <c r="K7" s="20">
        <f>COUNTIFS('لکسیون'!$E$3:$E$82,"&gt;="&amp;$B7,'لکسیون'!$E$3:$E$82,"&lt;="&amp;$C7,'لکسیون'!$I$3:$I$82,"بسته")</f>
        <v>0</v>
      </c>
      <c r="L7" s="20">
        <f t="shared" si="4"/>
        <v>5</v>
      </c>
      <c r="M7" s="28"/>
      <c r="N7" s="29">
        <f>SUMIF('ورود روزانه'!$E$3:$E$200,$A7,'ورود روزانه'!$Y$3:$Y$200)</f>
        <v>0</v>
      </c>
      <c r="O7" s="29">
        <f t="shared" si="5"/>
        <v>0</v>
      </c>
    </row>
    <row r="8" ht="27.75" customHeight="1">
      <c r="A8" s="9" t="s">
        <v>166</v>
      </c>
      <c r="B8" s="11">
        <v>46408.0</v>
      </c>
      <c r="C8" s="11">
        <v>46437.0</v>
      </c>
      <c r="D8" s="14">
        <v>30.0</v>
      </c>
      <c r="E8" s="20">
        <f>SUMIF('ورود روزانه'!$E$3:$E$200,$A8,'ورود روزانه'!$L$3:$L$200)</f>
        <v>0</v>
      </c>
      <c r="F8" s="20">
        <f t="shared" si="1"/>
        <v>0</v>
      </c>
      <c r="G8" s="25">
        <f t="shared" si="2"/>
        <v>0</v>
      </c>
      <c r="H8" s="20">
        <f>SUMIF('ورود روزانه'!$E$3:$E$200,$A8,'ورود روزانه'!$T$3:$T$200)</f>
        <v>0</v>
      </c>
      <c r="I8" s="20">
        <f t="shared" si="3"/>
        <v>0</v>
      </c>
      <c r="J8" s="25">
        <f>IFERROR(SUMIF('ورود روزانه'!$E$3:$E$200,$A8,'ورود روزانه'!$S$3:$S$200)/($D8*6),0)</f>
        <v>0</v>
      </c>
      <c r="K8" s="20">
        <f>COUNTIFS('لکسیون'!$E$3:$E$82,"&gt;="&amp;$B8,'لکسیون'!$E$3:$E$82,"&lt;="&amp;$C8,'لکسیون'!$I$3:$I$82,"بسته")</f>
        <v>0</v>
      </c>
      <c r="L8" s="20">
        <f t="shared" si="4"/>
        <v>5</v>
      </c>
      <c r="M8" s="28"/>
      <c r="N8" s="29">
        <f>SUMIF('ورود روزانه'!$E$3:$E$200,$A8,'ورود روزانه'!$Y$3:$Y$200)</f>
        <v>0</v>
      </c>
      <c r="O8" s="29">
        <f t="shared" si="5"/>
        <v>0</v>
      </c>
    </row>
    <row r="9" ht="27.75" customHeight="1">
      <c r="A9" s="9" t="s">
        <v>173</v>
      </c>
      <c r="B9" s="11">
        <v>46438.0</v>
      </c>
      <c r="C9" s="11">
        <v>46466.0</v>
      </c>
      <c r="D9" s="14">
        <v>29.0</v>
      </c>
      <c r="E9" s="20">
        <f>SUMIF('ورود روزانه'!$E$3:$E$200,$A9,'ورود روزانه'!$L$3:$L$200)</f>
        <v>0</v>
      </c>
      <c r="F9" s="20">
        <f t="shared" si="1"/>
        <v>0</v>
      </c>
      <c r="G9" s="25">
        <f t="shared" si="2"/>
        <v>0</v>
      </c>
      <c r="H9" s="20">
        <f>SUMIF('ورود روزانه'!$E$3:$E$200,$A9,'ورود روزانه'!$T$3:$T$200)</f>
        <v>0</v>
      </c>
      <c r="I9" s="20">
        <f t="shared" si="3"/>
        <v>0</v>
      </c>
      <c r="J9" s="25">
        <f>IFERROR(SUMIF('ورود روزانه'!$E$3:$E$200,$A9,'ورود روزانه'!$S$3:$S$200)/($D9*6),0)</f>
        <v>0</v>
      </c>
      <c r="K9" s="20">
        <f>COUNTIFS('لکسیون'!$E$3:$E$82,"&gt;="&amp;$B9,'لکسیون'!$E$3:$E$82,"&lt;="&amp;$C9,'لکسیون'!$I$3:$I$82,"بسته")</f>
        <v>0</v>
      </c>
      <c r="L9" s="20">
        <f t="shared" si="4"/>
        <v>5</v>
      </c>
      <c r="M9" s="28"/>
      <c r="N9" s="29">
        <f>SUMIF('ورود روزانه'!$E$3:$E$200,$A9,'ورود روزانه'!$Y$3:$Y$200)</f>
        <v>0</v>
      </c>
      <c r="O9" s="29">
        <f t="shared" si="5"/>
        <v>0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conditionalFormatting sqref="I3:I9">
    <cfRule type="colorScale" priority="1">
      <colorScale>
        <cfvo type="formula" val="0"/>
        <cfvo type="formula" val="10"/>
        <color rgb="FFE4F0E9"/>
        <color rgb="FFF0C9C4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9.0"/>
    <col customWidth="1" min="4" max="5" width="11.0"/>
    <col customWidth="1" min="6" max="6" width="12.0"/>
    <col customWidth="1" min="7" max="7" width="11.0"/>
    <col customWidth="1" min="8" max="10" width="12.0"/>
    <col customWidth="1" min="11" max="11" width="9.0"/>
    <col customWidth="1" min="12" max="12" width="40.0"/>
    <col customWidth="1" min="13" max="26" width="8.71"/>
  </cols>
  <sheetData>
    <row r="1" ht="21.75" customHeight="1">
      <c r="A1" s="2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1.5" customHeight="1">
      <c r="A2" s="4" t="s">
        <v>8</v>
      </c>
      <c r="B2" s="4" t="s">
        <v>285</v>
      </c>
      <c r="C2" s="4" t="s">
        <v>286</v>
      </c>
      <c r="D2" s="48" t="s">
        <v>287</v>
      </c>
      <c r="E2" s="48" t="s">
        <v>288</v>
      </c>
      <c r="F2" s="48" t="s">
        <v>289</v>
      </c>
      <c r="G2" s="4" t="s">
        <v>290</v>
      </c>
      <c r="H2" s="4" t="s">
        <v>291</v>
      </c>
      <c r="I2" s="48" t="s">
        <v>292</v>
      </c>
      <c r="J2" s="4" t="s">
        <v>293</v>
      </c>
      <c r="K2" s="4" t="s">
        <v>294</v>
      </c>
      <c r="L2" s="4" t="s">
        <v>295</v>
      </c>
    </row>
    <row r="3" ht="21.0" customHeight="1">
      <c r="A3" s="49"/>
      <c r="B3" s="50"/>
      <c r="C3" s="51"/>
      <c r="D3" s="51"/>
      <c r="E3" s="51"/>
      <c r="F3" s="51"/>
      <c r="G3" s="22" t="str">
        <f t="shared" ref="G3:G40" si="1">IF(COUNT(D3:F3)=0,"",SUM(D3:F3))</f>
        <v/>
      </c>
      <c r="H3" s="22" t="str">
        <f t="shared" ref="H3:H40" si="2">IF(G3="","",IF(G3&gt;=42,"قبول","زیر مرز"))</f>
        <v/>
      </c>
      <c r="I3" s="51"/>
      <c r="J3" s="22" t="str">
        <f t="shared" ref="J3:J40" si="3">IF(I3="","",IF(I3&gt;=18,"قبول","زیر مرز"))</f>
        <v/>
      </c>
      <c r="K3" s="52" t="str">
        <f t="shared" ref="K3:K40" si="4">IF(AND(G3="",I3=""),"",(N(G3)+N(I3))/100)</f>
        <v/>
      </c>
      <c r="L3" s="50"/>
    </row>
    <row r="4" ht="21.0" customHeight="1">
      <c r="A4" s="53"/>
      <c r="B4" s="54"/>
      <c r="C4" s="55"/>
      <c r="D4" s="55"/>
      <c r="E4" s="55"/>
      <c r="F4" s="55"/>
      <c r="G4" s="22" t="str">
        <f t="shared" si="1"/>
        <v/>
      </c>
      <c r="H4" s="22" t="str">
        <f t="shared" si="2"/>
        <v/>
      </c>
      <c r="I4" s="55"/>
      <c r="J4" s="22" t="str">
        <f t="shared" si="3"/>
        <v/>
      </c>
      <c r="K4" s="52" t="str">
        <f t="shared" si="4"/>
        <v/>
      </c>
      <c r="L4" s="54"/>
    </row>
    <row r="5" ht="21.0" customHeight="1">
      <c r="A5" s="53"/>
      <c r="B5" s="54"/>
      <c r="C5" s="55"/>
      <c r="D5" s="55"/>
      <c r="E5" s="55"/>
      <c r="F5" s="55"/>
      <c r="G5" s="22" t="str">
        <f t="shared" si="1"/>
        <v/>
      </c>
      <c r="H5" s="22" t="str">
        <f t="shared" si="2"/>
        <v/>
      </c>
      <c r="I5" s="55"/>
      <c r="J5" s="22" t="str">
        <f t="shared" si="3"/>
        <v/>
      </c>
      <c r="K5" s="52" t="str">
        <f t="shared" si="4"/>
        <v/>
      </c>
      <c r="L5" s="54"/>
    </row>
    <row r="6" ht="21.0" customHeight="1">
      <c r="A6" s="53"/>
      <c r="B6" s="54"/>
      <c r="C6" s="55"/>
      <c r="D6" s="55"/>
      <c r="E6" s="55"/>
      <c r="F6" s="55"/>
      <c r="G6" s="22" t="str">
        <f t="shared" si="1"/>
        <v/>
      </c>
      <c r="H6" s="22" t="str">
        <f t="shared" si="2"/>
        <v/>
      </c>
      <c r="I6" s="55"/>
      <c r="J6" s="22" t="str">
        <f t="shared" si="3"/>
        <v/>
      </c>
      <c r="K6" s="52" t="str">
        <f t="shared" si="4"/>
        <v/>
      </c>
      <c r="L6" s="54"/>
    </row>
    <row r="7" ht="21.0" customHeight="1">
      <c r="A7" s="53"/>
      <c r="B7" s="54"/>
      <c r="C7" s="55"/>
      <c r="D7" s="55"/>
      <c r="E7" s="55"/>
      <c r="F7" s="55"/>
      <c r="G7" s="22" t="str">
        <f t="shared" si="1"/>
        <v/>
      </c>
      <c r="H7" s="22" t="str">
        <f t="shared" si="2"/>
        <v/>
      </c>
      <c r="I7" s="55"/>
      <c r="J7" s="22" t="str">
        <f t="shared" si="3"/>
        <v/>
      </c>
      <c r="K7" s="52" t="str">
        <f t="shared" si="4"/>
        <v/>
      </c>
      <c r="L7" s="54"/>
    </row>
    <row r="8" ht="21.0" customHeight="1">
      <c r="A8" s="53"/>
      <c r="B8" s="54"/>
      <c r="C8" s="55"/>
      <c r="D8" s="55"/>
      <c r="E8" s="55"/>
      <c r="F8" s="55"/>
      <c r="G8" s="22" t="str">
        <f t="shared" si="1"/>
        <v/>
      </c>
      <c r="H8" s="22" t="str">
        <f t="shared" si="2"/>
        <v/>
      </c>
      <c r="I8" s="55"/>
      <c r="J8" s="22" t="str">
        <f t="shared" si="3"/>
        <v/>
      </c>
      <c r="K8" s="52" t="str">
        <f t="shared" si="4"/>
        <v/>
      </c>
      <c r="L8" s="54"/>
    </row>
    <row r="9" ht="21.0" customHeight="1">
      <c r="A9" s="53"/>
      <c r="B9" s="54"/>
      <c r="C9" s="55"/>
      <c r="D9" s="55"/>
      <c r="E9" s="55"/>
      <c r="F9" s="55"/>
      <c r="G9" s="22" t="str">
        <f t="shared" si="1"/>
        <v/>
      </c>
      <c r="H9" s="22" t="str">
        <f t="shared" si="2"/>
        <v/>
      </c>
      <c r="I9" s="55"/>
      <c r="J9" s="22" t="str">
        <f t="shared" si="3"/>
        <v/>
      </c>
      <c r="K9" s="52" t="str">
        <f t="shared" si="4"/>
        <v/>
      </c>
      <c r="L9" s="54"/>
    </row>
    <row r="10" ht="21.0" customHeight="1">
      <c r="A10" s="53"/>
      <c r="B10" s="54"/>
      <c r="C10" s="55"/>
      <c r="D10" s="55"/>
      <c r="E10" s="55"/>
      <c r="F10" s="55"/>
      <c r="G10" s="22" t="str">
        <f t="shared" si="1"/>
        <v/>
      </c>
      <c r="H10" s="22" t="str">
        <f t="shared" si="2"/>
        <v/>
      </c>
      <c r="I10" s="55"/>
      <c r="J10" s="22" t="str">
        <f t="shared" si="3"/>
        <v/>
      </c>
      <c r="K10" s="52" t="str">
        <f t="shared" si="4"/>
        <v/>
      </c>
      <c r="L10" s="54"/>
    </row>
    <row r="11" ht="21.0" customHeight="1">
      <c r="A11" s="53"/>
      <c r="B11" s="54"/>
      <c r="C11" s="55"/>
      <c r="D11" s="55"/>
      <c r="E11" s="55"/>
      <c r="F11" s="55"/>
      <c r="G11" s="22" t="str">
        <f t="shared" si="1"/>
        <v/>
      </c>
      <c r="H11" s="22" t="str">
        <f t="shared" si="2"/>
        <v/>
      </c>
      <c r="I11" s="55"/>
      <c r="J11" s="22" t="str">
        <f t="shared" si="3"/>
        <v/>
      </c>
      <c r="K11" s="52" t="str">
        <f t="shared" si="4"/>
        <v/>
      </c>
      <c r="L11" s="54"/>
    </row>
    <row r="12" ht="21.0" customHeight="1">
      <c r="A12" s="53"/>
      <c r="B12" s="54"/>
      <c r="C12" s="55"/>
      <c r="D12" s="55"/>
      <c r="E12" s="55"/>
      <c r="F12" s="55"/>
      <c r="G12" s="22" t="str">
        <f t="shared" si="1"/>
        <v/>
      </c>
      <c r="H12" s="22" t="str">
        <f t="shared" si="2"/>
        <v/>
      </c>
      <c r="I12" s="55"/>
      <c r="J12" s="22" t="str">
        <f t="shared" si="3"/>
        <v/>
      </c>
      <c r="K12" s="52" t="str">
        <f t="shared" si="4"/>
        <v/>
      </c>
      <c r="L12" s="54"/>
    </row>
    <row r="13" ht="21.0" customHeight="1">
      <c r="A13" s="53"/>
      <c r="B13" s="54"/>
      <c r="C13" s="55"/>
      <c r="D13" s="55"/>
      <c r="E13" s="55"/>
      <c r="F13" s="55"/>
      <c r="G13" s="22" t="str">
        <f t="shared" si="1"/>
        <v/>
      </c>
      <c r="H13" s="22" t="str">
        <f t="shared" si="2"/>
        <v/>
      </c>
      <c r="I13" s="55"/>
      <c r="J13" s="22" t="str">
        <f t="shared" si="3"/>
        <v/>
      </c>
      <c r="K13" s="52" t="str">
        <f t="shared" si="4"/>
        <v/>
      </c>
      <c r="L13" s="54"/>
    </row>
    <row r="14" ht="21.0" customHeight="1">
      <c r="A14" s="53"/>
      <c r="B14" s="54"/>
      <c r="C14" s="55"/>
      <c r="D14" s="55"/>
      <c r="E14" s="55"/>
      <c r="F14" s="55"/>
      <c r="G14" s="22" t="str">
        <f t="shared" si="1"/>
        <v/>
      </c>
      <c r="H14" s="22" t="str">
        <f t="shared" si="2"/>
        <v/>
      </c>
      <c r="I14" s="55"/>
      <c r="J14" s="22" t="str">
        <f t="shared" si="3"/>
        <v/>
      </c>
      <c r="K14" s="52" t="str">
        <f t="shared" si="4"/>
        <v/>
      </c>
      <c r="L14" s="54"/>
    </row>
    <row r="15" ht="21.0" customHeight="1">
      <c r="A15" s="53"/>
      <c r="B15" s="54"/>
      <c r="C15" s="55"/>
      <c r="D15" s="55"/>
      <c r="E15" s="55"/>
      <c r="F15" s="55"/>
      <c r="G15" s="22" t="str">
        <f t="shared" si="1"/>
        <v/>
      </c>
      <c r="H15" s="22" t="str">
        <f t="shared" si="2"/>
        <v/>
      </c>
      <c r="I15" s="55"/>
      <c r="J15" s="22" t="str">
        <f t="shared" si="3"/>
        <v/>
      </c>
      <c r="K15" s="52" t="str">
        <f t="shared" si="4"/>
        <v/>
      </c>
      <c r="L15" s="54"/>
    </row>
    <row r="16" ht="21.0" customHeight="1">
      <c r="A16" s="53"/>
      <c r="B16" s="54"/>
      <c r="C16" s="55"/>
      <c r="D16" s="55"/>
      <c r="E16" s="55"/>
      <c r="F16" s="55"/>
      <c r="G16" s="22" t="str">
        <f t="shared" si="1"/>
        <v/>
      </c>
      <c r="H16" s="22" t="str">
        <f t="shared" si="2"/>
        <v/>
      </c>
      <c r="I16" s="55"/>
      <c r="J16" s="22" t="str">
        <f t="shared" si="3"/>
        <v/>
      </c>
      <c r="K16" s="52" t="str">
        <f t="shared" si="4"/>
        <v/>
      </c>
      <c r="L16" s="54"/>
    </row>
    <row r="17" ht="21.0" customHeight="1">
      <c r="A17" s="53"/>
      <c r="B17" s="54"/>
      <c r="C17" s="55"/>
      <c r="D17" s="55"/>
      <c r="E17" s="55"/>
      <c r="F17" s="55"/>
      <c r="G17" s="22" t="str">
        <f t="shared" si="1"/>
        <v/>
      </c>
      <c r="H17" s="22" t="str">
        <f t="shared" si="2"/>
        <v/>
      </c>
      <c r="I17" s="55"/>
      <c r="J17" s="22" t="str">
        <f t="shared" si="3"/>
        <v/>
      </c>
      <c r="K17" s="52" t="str">
        <f t="shared" si="4"/>
        <v/>
      </c>
      <c r="L17" s="54"/>
    </row>
    <row r="18" ht="21.0" customHeight="1">
      <c r="A18" s="53"/>
      <c r="B18" s="54"/>
      <c r="C18" s="55"/>
      <c r="D18" s="55"/>
      <c r="E18" s="55"/>
      <c r="F18" s="55"/>
      <c r="G18" s="22" t="str">
        <f t="shared" si="1"/>
        <v/>
      </c>
      <c r="H18" s="22" t="str">
        <f t="shared" si="2"/>
        <v/>
      </c>
      <c r="I18" s="55"/>
      <c r="J18" s="22" t="str">
        <f t="shared" si="3"/>
        <v/>
      </c>
      <c r="K18" s="52" t="str">
        <f t="shared" si="4"/>
        <v/>
      </c>
      <c r="L18" s="54"/>
    </row>
    <row r="19" ht="21.0" customHeight="1">
      <c r="A19" s="53"/>
      <c r="B19" s="54"/>
      <c r="C19" s="55"/>
      <c r="D19" s="55"/>
      <c r="E19" s="55"/>
      <c r="F19" s="55"/>
      <c r="G19" s="22" t="str">
        <f t="shared" si="1"/>
        <v/>
      </c>
      <c r="H19" s="22" t="str">
        <f t="shared" si="2"/>
        <v/>
      </c>
      <c r="I19" s="55"/>
      <c r="J19" s="22" t="str">
        <f t="shared" si="3"/>
        <v/>
      </c>
      <c r="K19" s="52" t="str">
        <f t="shared" si="4"/>
        <v/>
      </c>
      <c r="L19" s="54"/>
    </row>
    <row r="20" ht="21.0" customHeight="1">
      <c r="A20" s="53"/>
      <c r="B20" s="54"/>
      <c r="C20" s="55"/>
      <c r="D20" s="55"/>
      <c r="E20" s="55"/>
      <c r="F20" s="55"/>
      <c r="G20" s="22" t="str">
        <f t="shared" si="1"/>
        <v/>
      </c>
      <c r="H20" s="22" t="str">
        <f t="shared" si="2"/>
        <v/>
      </c>
      <c r="I20" s="55"/>
      <c r="J20" s="22" t="str">
        <f t="shared" si="3"/>
        <v/>
      </c>
      <c r="K20" s="52" t="str">
        <f t="shared" si="4"/>
        <v/>
      </c>
      <c r="L20" s="54"/>
    </row>
    <row r="21" ht="21.0" customHeight="1">
      <c r="A21" s="53"/>
      <c r="B21" s="54"/>
      <c r="C21" s="55"/>
      <c r="D21" s="55"/>
      <c r="E21" s="55"/>
      <c r="F21" s="55"/>
      <c r="G21" s="22" t="str">
        <f t="shared" si="1"/>
        <v/>
      </c>
      <c r="H21" s="22" t="str">
        <f t="shared" si="2"/>
        <v/>
      </c>
      <c r="I21" s="55"/>
      <c r="J21" s="22" t="str">
        <f t="shared" si="3"/>
        <v/>
      </c>
      <c r="K21" s="52" t="str">
        <f t="shared" si="4"/>
        <v/>
      </c>
      <c r="L21" s="54"/>
    </row>
    <row r="22" ht="21.0" customHeight="1">
      <c r="A22" s="53"/>
      <c r="B22" s="54"/>
      <c r="C22" s="55"/>
      <c r="D22" s="55"/>
      <c r="E22" s="55"/>
      <c r="F22" s="55"/>
      <c r="G22" s="22" t="str">
        <f t="shared" si="1"/>
        <v/>
      </c>
      <c r="H22" s="22" t="str">
        <f t="shared" si="2"/>
        <v/>
      </c>
      <c r="I22" s="55"/>
      <c r="J22" s="22" t="str">
        <f t="shared" si="3"/>
        <v/>
      </c>
      <c r="K22" s="52" t="str">
        <f t="shared" si="4"/>
        <v/>
      </c>
      <c r="L22" s="54"/>
    </row>
    <row r="23" ht="21.0" customHeight="1">
      <c r="A23" s="53"/>
      <c r="B23" s="54"/>
      <c r="C23" s="55"/>
      <c r="D23" s="55"/>
      <c r="E23" s="55"/>
      <c r="F23" s="55"/>
      <c r="G23" s="22" t="str">
        <f t="shared" si="1"/>
        <v/>
      </c>
      <c r="H23" s="22" t="str">
        <f t="shared" si="2"/>
        <v/>
      </c>
      <c r="I23" s="55"/>
      <c r="J23" s="22" t="str">
        <f t="shared" si="3"/>
        <v/>
      </c>
      <c r="K23" s="52" t="str">
        <f t="shared" si="4"/>
        <v/>
      </c>
      <c r="L23" s="54"/>
    </row>
    <row r="24" ht="21.0" customHeight="1">
      <c r="A24" s="53"/>
      <c r="B24" s="54"/>
      <c r="C24" s="55"/>
      <c r="D24" s="55"/>
      <c r="E24" s="55"/>
      <c r="F24" s="55"/>
      <c r="G24" s="22" t="str">
        <f t="shared" si="1"/>
        <v/>
      </c>
      <c r="H24" s="22" t="str">
        <f t="shared" si="2"/>
        <v/>
      </c>
      <c r="I24" s="55"/>
      <c r="J24" s="22" t="str">
        <f t="shared" si="3"/>
        <v/>
      </c>
      <c r="K24" s="52" t="str">
        <f t="shared" si="4"/>
        <v/>
      </c>
      <c r="L24" s="54"/>
    </row>
    <row r="25" ht="21.0" customHeight="1">
      <c r="A25" s="53"/>
      <c r="B25" s="54"/>
      <c r="C25" s="55"/>
      <c r="D25" s="55"/>
      <c r="E25" s="55"/>
      <c r="F25" s="55"/>
      <c r="G25" s="22" t="str">
        <f t="shared" si="1"/>
        <v/>
      </c>
      <c r="H25" s="22" t="str">
        <f t="shared" si="2"/>
        <v/>
      </c>
      <c r="I25" s="55"/>
      <c r="J25" s="22" t="str">
        <f t="shared" si="3"/>
        <v/>
      </c>
      <c r="K25" s="52" t="str">
        <f t="shared" si="4"/>
        <v/>
      </c>
      <c r="L25" s="54"/>
    </row>
    <row r="26" ht="21.0" customHeight="1">
      <c r="A26" s="53"/>
      <c r="B26" s="54"/>
      <c r="C26" s="55"/>
      <c r="D26" s="55"/>
      <c r="E26" s="55"/>
      <c r="F26" s="55"/>
      <c r="G26" s="22" t="str">
        <f t="shared" si="1"/>
        <v/>
      </c>
      <c r="H26" s="22" t="str">
        <f t="shared" si="2"/>
        <v/>
      </c>
      <c r="I26" s="55"/>
      <c r="J26" s="22" t="str">
        <f t="shared" si="3"/>
        <v/>
      </c>
      <c r="K26" s="52" t="str">
        <f t="shared" si="4"/>
        <v/>
      </c>
      <c r="L26" s="54"/>
    </row>
    <row r="27" ht="21.0" customHeight="1">
      <c r="A27" s="53"/>
      <c r="B27" s="54"/>
      <c r="C27" s="55"/>
      <c r="D27" s="55"/>
      <c r="E27" s="55"/>
      <c r="F27" s="55"/>
      <c r="G27" s="22" t="str">
        <f t="shared" si="1"/>
        <v/>
      </c>
      <c r="H27" s="22" t="str">
        <f t="shared" si="2"/>
        <v/>
      </c>
      <c r="I27" s="55"/>
      <c r="J27" s="22" t="str">
        <f t="shared" si="3"/>
        <v/>
      </c>
      <c r="K27" s="52" t="str">
        <f t="shared" si="4"/>
        <v/>
      </c>
      <c r="L27" s="54"/>
    </row>
    <row r="28" ht="21.0" customHeight="1">
      <c r="A28" s="53"/>
      <c r="B28" s="54"/>
      <c r="C28" s="55"/>
      <c r="D28" s="55"/>
      <c r="E28" s="55"/>
      <c r="F28" s="55"/>
      <c r="G28" s="22" t="str">
        <f t="shared" si="1"/>
        <v/>
      </c>
      <c r="H28" s="22" t="str">
        <f t="shared" si="2"/>
        <v/>
      </c>
      <c r="I28" s="55"/>
      <c r="J28" s="22" t="str">
        <f t="shared" si="3"/>
        <v/>
      </c>
      <c r="K28" s="52" t="str">
        <f t="shared" si="4"/>
        <v/>
      </c>
      <c r="L28" s="54"/>
    </row>
    <row r="29" ht="21.0" customHeight="1">
      <c r="A29" s="53"/>
      <c r="B29" s="54"/>
      <c r="C29" s="55"/>
      <c r="D29" s="55"/>
      <c r="E29" s="55"/>
      <c r="F29" s="55"/>
      <c r="G29" s="22" t="str">
        <f t="shared" si="1"/>
        <v/>
      </c>
      <c r="H29" s="22" t="str">
        <f t="shared" si="2"/>
        <v/>
      </c>
      <c r="I29" s="55"/>
      <c r="J29" s="22" t="str">
        <f t="shared" si="3"/>
        <v/>
      </c>
      <c r="K29" s="52" t="str">
        <f t="shared" si="4"/>
        <v/>
      </c>
      <c r="L29" s="54"/>
    </row>
    <row r="30" ht="21.0" customHeight="1">
      <c r="A30" s="53"/>
      <c r="B30" s="54"/>
      <c r="C30" s="55"/>
      <c r="D30" s="55"/>
      <c r="E30" s="55"/>
      <c r="F30" s="55"/>
      <c r="G30" s="22" t="str">
        <f t="shared" si="1"/>
        <v/>
      </c>
      <c r="H30" s="22" t="str">
        <f t="shared" si="2"/>
        <v/>
      </c>
      <c r="I30" s="55"/>
      <c r="J30" s="22" t="str">
        <f t="shared" si="3"/>
        <v/>
      </c>
      <c r="K30" s="52" t="str">
        <f t="shared" si="4"/>
        <v/>
      </c>
      <c r="L30" s="54"/>
    </row>
    <row r="31" ht="21.0" customHeight="1">
      <c r="A31" s="53"/>
      <c r="B31" s="54"/>
      <c r="C31" s="55"/>
      <c r="D31" s="55"/>
      <c r="E31" s="55"/>
      <c r="F31" s="55"/>
      <c r="G31" s="22" t="str">
        <f t="shared" si="1"/>
        <v/>
      </c>
      <c r="H31" s="22" t="str">
        <f t="shared" si="2"/>
        <v/>
      </c>
      <c r="I31" s="55"/>
      <c r="J31" s="22" t="str">
        <f t="shared" si="3"/>
        <v/>
      </c>
      <c r="K31" s="52" t="str">
        <f t="shared" si="4"/>
        <v/>
      </c>
      <c r="L31" s="54"/>
    </row>
    <row r="32" ht="21.0" customHeight="1">
      <c r="A32" s="53"/>
      <c r="B32" s="54"/>
      <c r="C32" s="55"/>
      <c r="D32" s="55"/>
      <c r="E32" s="55"/>
      <c r="F32" s="55"/>
      <c r="G32" s="22" t="str">
        <f t="shared" si="1"/>
        <v/>
      </c>
      <c r="H32" s="22" t="str">
        <f t="shared" si="2"/>
        <v/>
      </c>
      <c r="I32" s="55"/>
      <c r="J32" s="22" t="str">
        <f t="shared" si="3"/>
        <v/>
      </c>
      <c r="K32" s="52" t="str">
        <f t="shared" si="4"/>
        <v/>
      </c>
      <c r="L32" s="54"/>
    </row>
    <row r="33" ht="21.0" customHeight="1">
      <c r="A33" s="53"/>
      <c r="B33" s="54"/>
      <c r="C33" s="55"/>
      <c r="D33" s="55"/>
      <c r="E33" s="55"/>
      <c r="F33" s="55"/>
      <c r="G33" s="22" t="str">
        <f t="shared" si="1"/>
        <v/>
      </c>
      <c r="H33" s="22" t="str">
        <f t="shared" si="2"/>
        <v/>
      </c>
      <c r="I33" s="55"/>
      <c r="J33" s="22" t="str">
        <f t="shared" si="3"/>
        <v/>
      </c>
      <c r="K33" s="52" t="str">
        <f t="shared" si="4"/>
        <v/>
      </c>
      <c r="L33" s="54"/>
    </row>
    <row r="34" ht="21.0" customHeight="1">
      <c r="A34" s="53"/>
      <c r="B34" s="54"/>
      <c r="C34" s="55"/>
      <c r="D34" s="55"/>
      <c r="E34" s="55"/>
      <c r="F34" s="55"/>
      <c r="G34" s="22" t="str">
        <f t="shared" si="1"/>
        <v/>
      </c>
      <c r="H34" s="22" t="str">
        <f t="shared" si="2"/>
        <v/>
      </c>
      <c r="I34" s="55"/>
      <c r="J34" s="22" t="str">
        <f t="shared" si="3"/>
        <v/>
      </c>
      <c r="K34" s="52" t="str">
        <f t="shared" si="4"/>
        <v/>
      </c>
      <c r="L34" s="54"/>
    </row>
    <row r="35" ht="21.0" customHeight="1">
      <c r="A35" s="53"/>
      <c r="B35" s="54"/>
      <c r="C35" s="55"/>
      <c r="D35" s="55"/>
      <c r="E35" s="55"/>
      <c r="F35" s="55"/>
      <c r="G35" s="22" t="str">
        <f t="shared" si="1"/>
        <v/>
      </c>
      <c r="H35" s="22" t="str">
        <f t="shared" si="2"/>
        <v/>
      </c>
      <c r="I35" s="55"/>
      <c r="J35" s="22" t="str">
        <f t="shared" si="3"/>
        <v/>
      </c>
      <c r="K35" s="52" t="str">
        <f t="shared" si="4"/>
        <v/>
      </c>
      <c r="L35" s="54"/>
    </row>
    <row r="36" ht="21.0" customHeight="1">
      <c r="A36" s="53"/>
      <c r="B36" s="54"/>
      <c r="C36" s="55"/>
      <c r="D36" s="55"/>
      <c r="E36" s="55"/>
      <c r="F36" s="55"/>
      <c r="G36" s="22" t="str">
        <f t="shared" si="1"/>
        <v/>
      </c>
      <c r="H36" s="22" t="str">
        <f t="shared" si="2"/>
        <v/>
      </c>
      <c r="I36" s="55"/>
      <c r="J36" s="22" t="str">
        <f t="shared" si="3"/>
        <v/>
      </c>
      <c r="K36" s="52" t="str">
        <f t="shared" si="4"/>
        <v/>
      </c>
      <c r="L36" s="54"/>
    </row>
    <row r="37" ht="21.0" customHeight="1">
      <c r="A37" s="53"/>
      <c r="B37" s="54"/>
      <c r="C37" s="55"/>
      <c r="D37" s="55"/>
      <c r="E37" s="55"/>
      <c r="F37" s="55"/>
      <c r="G37" s="22" t="str">
        <f t="shared" si="1"/>
        <v/>
      </c>
      <c r="H37" s="22" t="str">
        <f t="shared" si="2"/>
        <v/>
      </c>
      <c r="I37" s="55"/>
      <c r="J37" s="22" t="str">
        <f t="shared" si="3"/>
        <v/>
      </c>
      <c r="K37" s="52" t="str">
        <f t="shared" si="4"/>
        <v/>
      </c>
      <c r="L37" s="54"/>
    </row>
    <row r="38" ht="21.0" customHeight="1">
      <c r="A38" s="53"/>
      <c r="B38" s="54"/>
      <c r="C38" s="55"/>
      <c r="D38" s="55"/>
      <c r="E38" s="55"/>
      <c r="F38" s="55"/>
      <c r="G38" s="22" t="str">
        <f t="shared" si="1"/>
        <v/>
      </c>
      <c r="H38" s="22" t="str">
        <f t="shared" si="2"/>
        <v/>
      </c>
      <c r="I38" s="55"/>
      <c r="J38" s="22" t="str">
        <f t="shared" si="3"/>
        <v/>
      </c>
      <c r="K38" s="52" t="str">
        <f t="shared" si="4"/>
        <v/>
      </c>
      <c r="L38" s="54"/>
    </row>
    <row r="39" ht="21.0" customHeight="1">
      <c r="A39" s="53"/>
      <c r="B39" s="54"/>
      <c r="C39" s="55"/>
      <c r="D39" s="55"/>
      <c r="E39" s="55"/>
      <c r="F39" s="55"/>
      <c r="G39" s="22" t="str">
        <f t="shared" si="1"/>
        <v/>
      </c>
      <c r="H39" s="22" t="str">
        <f t="shared" si="2"/>
        <v/>
      </c>
      <c r="I39" s="55"/>
      <c r="J39" s="22" t="str">
        <f t="shared" si="3"/>
        <v/>
      </c>
      <c r="K39" s="52" t="str">
        <f t="shared" si="4"/>
        <v/>
      </c>
      <c r="L39" s="54"/>
    </row>
    <row r="40" ht="21.0" customHeight="1">
      <c r="A40" s="53"/>
      <c r="B40" s="54"/>
      <c r="C40" s="55"/>
      <c r="D40" s="55"/>
      <c r="E40" s="55"/>
      <c r="F40" s="55"/>
      <c r="G40" s="22" t="str">
        <f t="shared" si="1"/>
        <v/>
      </c>
      <c r="H40" s="22" t="str">
        <f t="shared" si="2"/>
        <v/>
      </c>
      <c r="I40" s="55"/>
      <c r="J40" s="22" t="str">
        <f t="shared" si="3"/>
        <v/>
      </c>
      <c r="K40" s="52" t="str">
        <f t="shared" si="4"/>
        <v/>
      </c>
      <c r="L40" s="54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conditionalFormatting sqref="H3:H40">
    <cfRule type="cellIs" dxfId="0" priority="1" operator="equal">
      <formula>"قبول"</formula>
    </cfRule>
  </conditionalFormatting>
  <conditionalFormatting sqref="H3:H40">
    <cfRule type="cellIs" dxfId="1" priority="2" operator="equal">
      <formula>"زیر مرز"</formula>
    </cfRule>
  </conditionalFormatting>
  <conditionalFormatting sqref="J3:J40">
    <cfRule type="cellIs" dxfId="0" priority="3" operator="equal">
      <formula>"قبول"</formula>
    </cfRule>
  </conditionalFormatting>
  <conditionalFormatting sqref="J3:J40">
    <cfRule type="cellIs" dxfId="1" priority="4" operator="equal">
      <formula>"زیر مرز"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0"/>
    <col customWidth="1" min="2" max="2" width="11.0"/>
    <col customWidth="1" min="3" max="3" width="58.0"/>
    <col customWidth="1" min="4" max="5" width="12.0"/>
    <col customWidth="1" min="6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7.75" customHeight="1">
      <c r="A1" s="2" t="s">
        <v>375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.0" customHeight="1">
      <c r="A2" s="48" t="s">
        <v>376</v>
      </c>
      <c r="B2" s="4" t="s">
        <v>20</v>
      </c>
      <c r="C2" s="4" t="s">
        <v>377</v>
      </c>
      <c r="D2" s="4" t="s">
        <v>378</v>
      </c>
      <c r="E2" s="4" t="s">
        <v>379</v>
      </c>
      <c r="F2" s="4" t="s">
        <v>380</v>
      </c>
      <c r="G2" s="4" t="s">
        <v>381</v>
      </c>
      <c r="H2" s="4" t="s">
        <v>382</v>
      </c>
      <c r="I2" s="4" t="s">
        <v>38</v>
      </c>
      <c r="J2" s="4" t="s">
        <v>383</v>
      </c>
      <c r="K2" s="4" t="s">
        <v>384</v>
      </c>
    </row>
    <row r="3" ht="21.75" customHeight="1">
      <c r="A3" s="56">
        <v>1.0</v>
      </c>
      <c r="B3" s="57" t="s">
        <v>385</v>
      </c>
      <c r="C3" s="58" t="s">
        <v>386</v>
      </c>
      <c r="D3" s="53"/>
      <c r="E3" s="53">
        <v>46270.0</v>
      </c>
      <c r="F3" s="55">
        <v>1.0</v>
      </c>
      <c r="G3" s="55">
        <v>1.0</v>
      </c>
      <c r="H3" s="55">
        <v>1.0</v>
      </c>
      <c r="I3" s="59" t="str">
        <f t="shared" ref="I3:I82" si="1">IF(AND(N(F3)&gt;0,N(G3)&gt;0,N(H3)&gt;0),"بسته",IF(N(F3)+N(G3)+N(H3)&gt;0,"ناقص",IF(D3&lt;&gt;"","در جریان","—")))</f>
        <v>بسته</v>
      </c>
      <c r="J3" s="60" t="s">
        <v>387</v>
      </c>
      <c r="K3" s="61" t="s">
        <v>388</v>
      </c>
    </row>
    <row r="4" ht="21.75" customHeight="1">
      <c r="A4" s="56">
        <v>2.0</v>
      </c>
      <c r="B4" s="57" t="s">
        <v>385</v>
      </c>
      <c r="C4" s="58" t="s">
        <v>389</v>
      </c>
      <c r="D4" s="53"/>
      <c r="E4" s="53">
        <v>46270.0</v>
      </c>
      <c r="F4" s="55">
        <v>1.0</v>
      </c>
      <c r="G4" s="55">
        <v>1.0</v>
      </c>
      <c r="H4" s="55">
        <v>1.0</v>
      </c>
      <c r="I4" s="59" t="str">
        <f t="shared" si="1"/>
        <v>بسته</v>
      </c>
      <c r="J4" s="60" t="s">
        <v>387</v>
      </c>
      <c r="K4" s="61" t="s">
        <v>390</v>
      </c>
    </row>
    <row r="5" ht="21.75" customHeight="1">
      <c r="A5" s="56">
        <v>3.0</v>
      </c>
      <c r="B5" s="57" t="s">
        <v>385</v>
      </c>
      <c r="C5" s="58" t="s">
        <v>391</v>
      </c>
      <c r="D5" s="53"/>
      <c r="E5" s="53">
        <v>46270.0</v>
      </c>
      <c r="F5" s="55">
        <v>1.0</v>
      </c>
      <c r="G5" s="55">
        <v>1.0</v>
      </c>
      <c r="H5" s="55">
        <v>1.0</v>
      </c>
      <c r="I5" s="59" t="str">
        <f t="shared" si="1"/>
        <v>بسته</v>
      </c>
      <c r="J5" s="60" t="s">
        <v>387</v>
      </c>
      <c r="K5" s="61" t="s">
        <v>392</v>
      </c>
    </row>
    <row r="6" ht="21.75" customHeight="1">
      <c r="A6" s="56">
        <v>4.0</v>
      </c>
      <c r="B6" s="57" t="s">
        <v>385</v>
      </c>
      <c r="C6" s="58" t="s">
        <v>393</v>
      </c>
      <c r="D6" s="53"/>
      <c r="E6" s="53">
        <v>46270.0</v>
      </c>
      <c r="F6" s="55">
        <v>1.0</v>
      </c>
      <c r="G6" s="55">
        <v>1.0</v>
      </c>
      <c r="H6" s="55">
        <v>1.0</v>
      </c>
      <c r="I6" s="59" t="str">
        <f t="shared" si="1"/>
        <v>بسته</v>
      </c>
      <c r="J6" s="60" t="s">
        <v>387</v>
      </c>
      <c r="K6" s="61" t="s">
        <v>394</v>
      </c>
    </row>
    <row r="7" ht="21.75" customHeight="1">
      <c r="A7" s="56">
        <v>5.0</v>
      </c>
      <c r="B7" s="57" t="s">
        <v>385</v>
      </c>
      <c r="C7" s="58" t="s">
        <v>395</v>
      </c>
      <c r="D7" s="53"/>
      <c r="E7" s="53">
        <v>46270.0</v>
      </c>
      <c r="F7" s="55">
        <v>1.0</v>
      </c>
      <c r="G7" s="55">
        <v>1.0</v>
      </c>
      <c r="H7" s="55">
        <v>1.0</v>
      </c>
      <c r="I7" s="59" t="str">
        <f t="shared" si="1"/>
        <v>بسته</v>
      </c>
      <c r="J7" s="60" t="s">
        <v>387</v>
      </c>
      <c r="K7" s="61" t="s">
        <v>396</v>
      </c>
    </row>
    <row r="8" ht="21.75" customHeight="1">
      <c r="A8" s="56">
        <v>6.0</v>
      </c>
      <c r="B8" s="57" t="s">
        <v>385</v>
      </c>
      <c r="C8" s="58" t="s">
        <v>397</v>
      </c>
      <c r="D8" s="53"/>
      <c r="E8" s="62">
        <v>46276.0</v>
      </c>
      <c r="F8" s="63">
        <v>1.0</v>
      </c>
      <c r="G8" s="63">
        <v>1.0</v>
      </c>
      <c r="H8" s="63"/>
      <c r="I8" s="59" t="str">
        <f t="shared" si="1"/>
        <v>ناقص</v>
      </c>
      <c r="J8" s="55"/>
      <c r="K8" s="54"/>
    </row>
    <row r="9" ht="21.75" customHeight="1">
      <c r="A9" s="56">
        <v>7.0</v>
      </c>
      <c r="B9" s="57" t="s">
        <v>385</v>
      </c>
      <c r="C9" s="58" t="s">
        <v>398</v>
      </c>
      <c r="D9" s="53"/>
      <c r="E9" s="62">
        <v>46278.0</v>
      </c>
      <c r="F9" s="63">
        <v>1.0</v>
      </c>
      <c r="G9" s="63">
        <v>1.0</v>
      </c>
      <c r="H9" s="55"/>
      <c r="I9" s="59" t="str">
        <f t="shared" si="1"/>
        <v>ناقص</v>
      </c>
      <c r="J9" s="55"/>
      <c r="K9" s="54"/>
    </row>
    <row r="10" ht="21.75" customHeight="1">
      <c r="A10" s="56">
        <v>8.0</v>
      </c>
      <c r="B10" s="57" t="s">
        <v>385</v>
      </c>
      <c r="C10" s="58" t="s">
        <v>399</v>
      </c>
      <c r="D10" s="64">
        <v>46278.0</v>
      </c>
      <c r="E10" s="62">
        <v>46281.0</v>
      </c>
      <c r="F10" s="63">
        <v>1.0</v>
      </c>
      <c r="G10" s="63">
        <v>1.0</v>
      </c>
      <c r="H10" s="55"/>
      <c r="I10" s="59" t="str">
        <f t="shared" si="1"/>
        <v>ناقص</v>
      </c>
      <c r="J10" s="55"/>
      <c r="K10" s="54"/>
    </row>
    <row r="11" ht="21.75" customHeight="1">
      <c r="A11" s="56">
        <v>9.0</v>
      </c>
      <c r="B11" s="57" t="s">
        <v>385</v>
      </c>
      <c r="C11" s="58" t="s">
        <v>400</v>
      </c>
      <c r="D11" s="62">
        <v>46285.0</v>
      </c>
      <c r="E11" s="53"/>
      <c r="F11" s="55"/>
      <c r="G11" s="55"/>
      <c r="H11" s="55"/>
      <c r="I11" s="59" t="str">
        <f t="shared" si="1"/>
        <v>در جریان</v>
      </c>
      <c r="J11" s="55"/>
      <c r="K11" s="54"/>
    </row>
    <row r="12" ht="21.75" customHeight="1">
      <c r="A12" s="56">
        <v>10.0</v>
      </c>
      <c r="B12" s="57" t="s">
        <v>385</v>
      </c>
      <c r="C12" s="58" t="s">
        <v>401</v>
      </c>
      <c r="D12" s="53"/>
      <c r="E12" s="53"/>
      <c r="F12" s="55"/>
      <c r="G12" s="55"/>
      <c r="H12" s="55"/>
      <c r="I12" s="59" t="str">
        <f t="shared" si="1"/>
        <v>—</v>
      </c>
      <c r="J12" s="55"/>
      <c r="K12" s="54"/>
    </row>
    <row r="13" ht="21.75" customHeight="1">
      <c r="A13" s="56">
        <v>11.0</v>
      </c>
      <c r="B13" s="57" t="s">
        <v>385</v>
      </c>
      <c r="C13" s="58" t="s">
        <v>402</v>
      </c>
      <c r="D13" s="53"/>
      <c r="E13" s="53"/>
      <c r="F13" s="55"/>
      <c r="G13" s="55"/>
      <c r="H13" s="55"/>
      <c r="I13" s="59" t="str">
        <f t="shared" si="1"/>
        <v>—</v>
      </c>
      <c r="J13" s="55"/>
      <c r="K13" s="54"/>
    </row>
    <row r="14" ht="21.75" customHeight="1">
      <c r="A14" s="56">
        <v>12.0</v>
      </c>
      <c r="B14" s="57" t="s">
        <v>385</v>
      </c>
      <c r="C14" s="58" t="s">
        <v>403</v>
      </c>
      <c r="D14" s="53"/>
      <c r="E14" s="53"/>
      <c r="F14" s="55"/>
      <c r="G14" s="55"/>
      <c r="H14" s="55"/>
      <c r="I14" s="59" t="str">
        <f t="shared" si="1"/>
        <v>—</v>
      </c>
      <c r="J14" s="55"/>
      <c r="K14" s="54"/>
    </row>
    <row r="15" ht="21.75" customHeight="1">
      <c r="A15" s="56">
        <v>13.0</v>
      </c>
      <c r="B15" s="57" t="s">
        <v>385</v>
      </c>
      <c r="C15" s="58" t="s">
        <v>404</v>
      </c>
      <c r="D15" s="53"/>
      <c r="E15" s="53"/>
      <c r="F15" s="55"/>
      <c r="G15" s="55"/>
      <c r="H15" s="55"/>
      <c r="I15" s="59" t="str">
        <f t="shared" si="1"/>
        <v>—</v>
      </c>
      <c r="J15" s="55"/>
      <c r="K15" s="54"/>
    </row>
    <row r="16" ht="21.75" customHeight="1">
      <c r="A16" s="56">
        <v>14.0</v>
      </c>
      <c r="B16" s="57" t="s">
        <v>385</v>
      </c>
      <c r="C16" s="58" t="s">
        <v>405</v>
      </c>
      <c r="D16" s="53"/>
      <c r="E16" s="53"/>
      <c r="F16" s="55"/>
      <c r="G16" s="55"/>
      <c r="H16" s="55"/>
      <c r="I16" s="59" t="str">
        <f t="shared" si="1"/>
        <v>—</v>
      </c>
      <c r="J16" s="55"/>
      <c r="K16" s="54"/>
    </row>
    <row r="17" ht="21.75" customHeight="1">
      <c r="A17" s="56">
        <v>15.0</v>
      </c>
      <c r="B17" s="57" t="s">
        <v>385</v>
      </c>
      <c r="C17" s="58" t="s">
        <v>406</v>
      </c>
      <c r="D17" s="53"/>
      <c r="E17" s="53"/>
      <c r="F17" s="55"/>
      <c r="G17" s="55"/>
      <c r="H17" s="55"/>
      <c r="I17" s="59" t="str">
        <f t="shared" si="1"/>
        <v>—</v>
      </c>
      <c r="J17" s="55"/>
      <c r="K17" s="54"/>
    </row>
    <row r="18" ht="21.75" customHeight="1">
      <c r="A18" s="56">
        <v>16.0</v>
      </c>
      <c r="B18" s="57" t="s">
        <v>385</v>
      </c>
      <c r="C18" s="58" t="s">
        <v>407</v>
      </c>
      <c r="D18" s="53"/>
      <c r="E18" s="53"/>
      <c r="F18" s="55"/>
      <c r="G18" s="55"/>
      <c r="H18" s="55"/>
      <c r="I18" s="59" t="str">
        <f t="shared" si="1"/>
        <v>—</v>
      </c>
      <c r="J18" s="55"/>
      <c r="K18" s="54"/>
    </row>
    <row r="19" ht="21.75" customHeight="1">
      <c r="A19" s="56">
        <v>17.0</v>
      </c>
      <c r="B19" s="57" t="s">
        <v>385</v>
      </c>
      <c r="C19" s="58" t="s">
        <v>408</v>
      </c>
      <c r="D19" s="53"/>
      <c r="E19" s="53"/>
      <c r="F19" s="55"/>
      <c r="G19" s="55"/>
      <c r="H19" s="55"/>
      <c r="I19" s="59" t="str">
        <f t="shared" si="1"/>
        <v>—</v>
      </c>
      <c r="J19" s="55"/>
      <c r="K19" s="54"/>
    </row>
    <row r="20" ht="21.75" customHeight="1">
      <c r="A20" s="56">
        <v>18.0</v>
      </c>
      <c r="B20" s="57" t="s">
        <v>385</v>
      </c>
      <c r="C20" s="58" t="s">
        <v>409</v>
      </c>
      <c r="D20" s="53"/>
      <c r="E20" s="53"/>
      <c r="F20" s="55"/>
      <c r="G20" s="55"/>
      <c r="H20" s="55"/>
      <c r="I20" s="59" t="str">
        <f t="shared" si="1"/>
        <v>—</v>
      </c>
      <c r="J20" s="55"/>
      <c r="K20" s="54"/>
    </row>
    <row r="21" ht="21.75" customHeight="1">
      <c r="A21" s="56">
        <v>19.0</v>
      </c>
      <c r="B21" s="57" t="s">
        <v>385</v>
      </c>
      <c r="C21" s="58" t="s">
        <v>410</v>
      </c>
      <c r="D21" s="53"/>
      <c r="E21" s="53"/>
      <c r="F21" s="55"/>
      <c r="G21" s="55"/>
      <c r="H21" s="55"/>
      <c r="I21" s="59" t="str">
        <f t="shared" si="1"/>
        <v>—</v>
      </c>
      <c r="J21" s="55"/>
      <c r="K21" s="54"/>
    </row>
    <row r="22" ht="21.75" customHeight="1">
      <c r="A22" s="56">
        <v>20.0</v>
      </c>
      <c r="B22" s="57" t="s">
        <v>385</v>
      </c>
      <c r="C22" s="58" t="s">
        <v>411</v>
      </c>
      <c r="D22" s="53"/>
      <c r="E22" s="53"/>
      <c r="F22" s="55"/>
      <c r="G22" s="55"/>
      <c r="H22" s="55"/>
      <c r="I22" s="59" t="str">
        <f t="shared" si="1"/>
        <v>—</v>
      </c>
      <c r="J22" s="55"/>
      <c r="K22" s="54"/>
    </row>
    <row r="23" ht="21.75" customHeight="1">
      <c r="A23" s="56">
        <v>21.0</v>
      </c>
      <c r="B23" s="57" t="s">
        <v>385</v>
      </c>
      <c r="C23" s="58" t="s">
        <v>412</v>
      </c>
      <c r="D23" s="53"/>
      <c r="E23" s="53"/>
      <c r="F23" s="55"/>
      <c r="G23" s="55"/>
      <c r="H23" s="55"/>
      <c r="I23" s="59" t="str">
        <f t="shared" si="1"/>
        <v>—</v>
      </c>
      <c r="J23" s="55"/>
      <c r="K23" s="54"/>
    </row>
    <row r="24" ht="21.75" customHeight="1">
      <c r="A24" s="56">
        <v>22.0</v>
      </c>
      <c r="B24" s="57" t="s">
        <v>385</v>
      </c>
      <c r="C24" s="58" t="s">
        <v>413</v>
      </c>
      <c r="D24" s="53"/>
      <c r="E24" s="53"/>
      <c r="F24" s="55"/>
      <c r="G24" s="55"/>
      <c r="H24" s="55"/>
      <c r="I24" s="59" t="str">
        <f t="shared" si="1"/>
        <v>—</v>
      </c>
      <c r="J24" s="55"/>
      <c r="K24" s="54"/>
    </row>
    <row r="25" ht="21.75" customHeight="1">
      <c r="A25" s="56">
        <v>23.0</v>
      </c>
      <c r="B25" s="65" t="s">
        <v>414</v>
      </c>
      <c r="C25" s="66" t="s">
        <v>415</v>
      </c>
      <c r="D25" s="53"/>
      <c r="E25" s="53"/>
      <c r="F25" s="55"/>
      <c r="G25" s="55"/>
      <c r="H25" s="55"/>
      <c r="I25" s="59" t="str">
        <f t="shared" si="1"/>
        <v>—</v>
      </c>
      <c r="J25" s="55"/>
      <c r="K25" s="54"/>
    </row>
    <row r="26" ht="21.75" customHeight="1">
      <c r="A26" s="56">
        <v>24.0</v>
      </c>
      <c r="B26" s="65" t="s">
        <v>414</v>
      </c>
      <c r="C26" s="66" t="s">
        <v>416</v>
      </c>
      <c r="D26" s="53"/>
      <c r="E26" s="53"/>
      <c r="F26" s="55"/>
      <c r="G26" s="55"/>
      <c r="H26" s="55"/>
      <c r="I26" s="59" t="str">
        <f t="shared" si="1"/>
        <v>—</v>
      </c>
      <c r="J26" s="55"/>
      <c r="K26" s="54"/>
    </row>
    <row r="27" ht="21.75" customHeight="1">
      <c r="A27" s="56">
        <v>25.0</v>
      </c>
      <c r="B27" s="65" t="s">
        <v>414</v>
      </c>
      <c r="C27" s="66" t="s">
        <v>417</v>
      </c>
      <c r="D27" s="53"/>
      <c r="E27" s="53"/>
      <c r="F27" s="55"/>
      <c r="G27" s="55"/>
      <c r="H27" s="55"/>
      <c r="I27" s="59" t="str">
        <f t="shared" si="1"/>
        <v>—</v>
      </c>
      <c r="J27" s="55"/>
      <c r="K27" s="54"/>
    </row>
    <row r="28" ht="21.75" customHeight="1">
      <c r="A28" s="56">
        <v>26.0</v>
      </c>
      <c r="B28" s="65" t="s">
        <v>414</v>
      </c>
      <c r="C28" s="66" t="s">
        <v>418</v>
      </c>
      <c r="D28" s="53"/>
      <c r="E28" s="53"/>
      <c r="F28" s="55"/>
      <c r="G28" s="55"/>
      <c r="H28" s="55"/>
      <c r="I28" s="59" t="str">
        <f t="shared" si="1"/>
        <v>—</v>
      </c>
      <c r="J28" s="55"/>
      <c r="K28" s="54"/>
    </row>
    <row r="29" ht="21.75" customHeight="1">
      <c r="A29" s="56">
        <v>27.0</v>
      </c>
      <c r="B29" s="65" t="s">
        <v>414</v>
      </c>
      <c r="C29" s="66" t="s">
        <v>419</v>
      </c>
      <c r="D29" s="53"/>
      <c r="E29" s="53"/>
      <c r="F29" s="55"/>
      <c r="G29" s="55"/>
      <c r="H29" s="55"/>
      <c r="I29" s="59" t="str">
        <f t="shared" si="1"/>
        <v>—</v>
      </c>
      <c r="J29" s="55"/>
      <c r="K29" s="54"/>
    </row>
    <row r="30" ht="21.75" customHeight="1">
      <c r="A30" s="56">
        <v>28.0</v>
      </c>
      <c r="B30" s="65" t="s">
        <v>414</v>
      </c>
      <c r="C30" s="66" t="s">
        <v>420</v>
      </c>
      <c r="D30" s="53"/>
      <c r="E30" s="53"/>
      <c r="F30" s="55"/>
      <c r="G30" s="55"/>
      <c r="H30" s="55"/>
      <c r="I30" s="59" t="str">
        <f t="shared" si="1"/>
        <v>—</v>
      </c>
      <c r="J30" s="55"/>
      <c r="K30" s="54"/>
    </row>
    <row r="31" ht="21.75" customHeight="1">
      <c r="A31" s="56">
        <v>29.0</v>
      </c>
      <c r="B31" s="65" t="s">
        <v>414</v>
      </c>
      <c r="C31" s="66" t="s">
        <v>421</v>
      </c>
      <c r="D31" s="53"/>
      <c r="E31" s="53"/>
      <c r="F31" s="55"/>
      <c r="G31" s="55"/>
      <c r="H31" s="55"/>
      <c r="I31" s="59" t="str">
        <f t="shared" si="1"/>
        <v>—</v>
      </c>
      <c r="J31" s="55"/>
      <c r="K31" s="54"/>
    </row>
    <row r="32" ht="21.75" customHeight="1">
      <c r="A32" s="56">
        <v>30.0</v>
      </c>
      <c r="B32" s="65" t="s">
        <v>414</v>
      </c>
      <c r="C32" s="66" t="s">
        <v>422</v>
      </c>
      <c r="D32" s="53"/>
      <c r="E32" s="53"/>
      <c r="F32" s="55"/>
      <c r="G32" s="55"/>
      <c r="H32" s="55"/>
      <c r="I32" s="59" t="str">
        <f t="shared" si="1"/>
        <v>—</v>
      </c>
      <c r="J32" s="55"/>
      <c r="K32" s="54"/>
    </row>
    <row r="33" ht="21.75" customHeight="1">
      <c r="A33" s="56">
        <v>31.0</v>
      </c>
      <c r="B33" s="65" t="s">
        <v>414</v>
      </c>
      <c r="C33" s="66" t="s">
        <v>423</v>
      </c>
      <c r="D33" s="53"/>
      <c r="E33" s="53"/>
      <c r="F33" s="55"/>
      <c r="G33" s="55"/>
      <c r="H33" s="55"/>
      <c r="I33" s="59" t="str">
        <f t="shared" si="1"/>
        <v>—</v>
      </c>
      <c r="J33" s="55"/>
      <c r="K33" s="54"/>
    </row>
    <row r="34" ht="21.75" customHeight="1">
      <c r="A34" s="56">
        <v>32.0</v>
      </c>
      <c r="B34" s="65" t="s">
        <v>414</v>
      </c>
      <c r="C34" s="66" t="s">
        <v>424</v>
      </c>
      <c r="D34" s="53"/>
      <c r="E34" s="53"/>
      <c r="F34" s="55"/>
      <c r="G34" s="55"/>
      <c r="H34" s="55"/>
      <c r="I34" s="59" t="str">
        <f t="shared" si="1"/>
        <v>—</v>
      </c>
      <c r="J34" s="55"/>
      <c r="K34" s="54"/>
    </row>
    <row r="35" ht="21.75" customHeight="1">
      <c r="A35" s="56">
        <v>33.0</v>
      </c>
      <c r="B35" s="65" t="s">
        <v>414</v>
      </c>
      <c r="C35" s="66" t="s">
        <v>425</v>
      </c>
      <c r="D35" s="53"/>
      <c r="E35" s="53"/>
      <c r="F35" s="55"/>
      <c r="G35" s="55"/>
      <c r="H35" s="55"/>
      <c r="I35" s="59" t="str">
        <f t="shared" si="1"/>
        <v>—</v>
      </c>
      <c r="J35" s="55"/>
      <c r="K35" s="54"/>
    </row>
    <row r="36" ht="21.75" customHeight="1">
      <c r="A36" s="56">
        <v>34.0</v>
      </c>
      <c r="B36" s="65" t="s">
        <v>414</v>
      </c>
      <c r="C36" s="66" t="s">
        <v>427</v>
      </c>
      <c r="D36" s="53"/>
      <c r="E36" s="53"/>
      <c r="F36" s="55"/>
      <c r="G36" s="55"/>
      <c r="H36" s="55"/>
      <c r="I36" s="59" t="str">
        <f t="shared" si="1"/>
        <v>—</v>
      </c>
      <c r="J36" s="55"/>
      <c r="K36" s="54"/>
    </row>
    <row r="37" ht="21.75" customHeight="1">
      <c r="A37" s="56">
        <v>35.0</v>
      </c>
      <c r="B37" s="65" t="s">
        <v>414</v>
      </c>
      <c r="C37" s="66" t="s">
        <v>430</v>
      </c>
      <c r="D37" s="53"/>
      <c r="E37" s="53"/>
      <c r="F37" s="55"/>
      <c r="G37" s="55"/>
      <c r="H37" s="55"/>
      <c r="I37" s="59" t="str">
        <f t="shared" si="1"/>
        <v>—</v>
      </c>
      <c r="J37" s="55"/>
      <c r="K37" s="54"/>
    </row>
    <row r="38" ht="21.75" customHeight="1">
      <c r="A38" s="56">
        <v>36.0</v>
      </c>
      <c r="B38" s="65" t="s">
        <v>414</v>
      </c>
      <c r="C38" s="66" t="s">
        <v>432</v>
      </c>
      <c r="D38" s="53"/>
      <c r="E38" s="53"/>
      <c r="F38" s="55"/>
      <c r="G38" s="55"/>
      <c r="H38" s="55"/>
      <c r="I38" s="59" t="str">
        <f t="shared" si="1"/>
        <v>—</v>
      </c>
      <c r="J38" s="55"/>
      <c r="K38" s="54"/>
    </row>
    <row r="39" ht="21.75" customHeight="1">
      <c r="A39" s="56">
        <v>37.0</v>
      </c>
      <c r="B39" s="65" t="s">
        <v>414</v>
      </c>
      <c r="C39" s="66" t="s">
        <v>434</v>
      </c>
      <c r="D39" s="53"/>
      <c r="E39" s="53"/>
      <c r="F39" s="55"/>
      <c r="G39" s="55"/>
      <c r="H39" s="55"/>
      <c r="I39" s="59" t="str">
        <f t="shared" si="1"/>
        <v>—</v>
      </c>
      <c r="J39" s="55"/>
      <c r="K39" s="54"/>
    </row>
    <row r="40" ht="21.75" customHeight="1">
      <c r="A40" s="56">
        <v>38.0</v>
      </c>
      <c r="B40" s="65" t="s">
        <v>414</v>
      </c>
      <c r="C40" s="66" t="s">
        <v>436</v>
      </c>
      <c r="D40" s="53"/>
      <c r="E40" s="53"/>
      <c r="F40" s="55"/>
      <c r="G40" s="55"/>
      <c r="H40" s="55"/>
      <c r="I40" s="59" t="str">
        <f t="shared" si="1"/>
        <v>—</v>
      </c>
      <c r="J40" s="55"/>
      <c r="K40" s="54"/>
    </row>
    <row r="41" ht="21.75" customHeight="1">
      <c r="A41" s="56">
        <v>39.0</v>
      </c>
      <c r="B41" s="65" t="s">
        <v>414</v>
      </c>
      <c r="C41" s="66" t="s">
        <v>438</v>
      </c>
      <c r="D41" s="53"/>
      <c r="E41" s="53"/>
      <c r="F41" s="55"/>
      <c r="G41" s="55"/>
      <c r="H41" s="55"/>
      <c r="I41" s="59" t="str">
        <f t="shared" si="1"/>
        <v>—</v>
      </c>
      <c r="J41" s="55"/>
      <c r="K41" s="54"/>
    </row>
    <row r="42" ht="21.75" customHeight="1">
      <c r="A42" s="56">
        <v>40.0</v>
      </c>
      <c r="B42" s="65" t="s">
        <v>414</v>
      </c>
      <c r="C42" s="66" t="s">
        <v>443</v>
      </c>
      <c r="D42" s="53"/>
      <c r="E42" s="53"/>
      <c r="F42" s="55"/>
      <c r="G42" s="55"/>
      <c r="H42" s="55"/>
      <c r="I42" s="59" t="str">
        <f t="shared" si="1"/>
        <v>—</v>
      </c>
      <c r="J42" s="55"/>
      <c r="K42" s="54"/>
    </row>
    <row r="43" ht="21.75" customHeight="1">
      <c r="A43" s="56">
        <v>41.0</v>
      </c>
      <c r="B43" s="65" t="s">
        <v>414</v>
      </c>
      <c r="C43" s="66" t="s">
        <v>446</v>
      </c>
      <c r="D43" s="53"/>
      <c r="E43" s="53"/>
      <c r="F43" s="55"/>
      <c r="G43" s="55"/>
      <c r="H43" s="55"/>
      <c r="I43" s="59" t="str">
        <f t="shared" si="1"/>
        <v>—</v>
      </c>
      <c r="J43" s="55"/>
      <c r="K43" s="54"/>
    </row>
    <row r="44" ht="21.75" customHeight="1">
      <c r="A44" s="56">
        <v>42.0</v>
      </c>
      <c r="B44" s="65" t="s">
        <v>414</v>
      </c>
      <c r="C44" s="66" t="s">
        <v>447</v>
      </c>
      <c r="D44" s="53"/>
      <c r="E44" s="53"/>
      <c r="F44" s="55"/>
      <c r="G44" s="55"/>
      <c r="H44" s="55"/>
      <c r="I44" s="59" t="str">
        <f t="shared" si="1"/>
        <v>—</v>
      </c>
      <c r="J44" s="55"/>
      <c r="K44" s="54"/>
    </row>
    <row r="45" ht="21.75" customHeight="1">
      <c r="A45" s="56">
        <v>43.0</v>
      </c>
      <c r="B45" s="57" t="s">
        <v>448</v>
      </c>
      <c r="C45" s="66" t="s">
        <v>449</v>
      </c>
      <c r="D45" s="53"/>
      <c r="E45" s="53"/>
      <c r="F45" s="55"/>
      <c r="G45" s="55"/>
      <c r="H45" s="55"/>
      <c r="I45" s="59" t="str">
        <f t="shared" si="1"/>
        <v>—</v>
      </c>
      <c r="J45" s="55"/>
      <c r="K45" s="54"/>
    </row>
    <row r="46" ht="21.75" customHeight="1">
      <c r="A46" s="56">
        <v>44.0</v>
      </c>
      <c r="B46" s="57" t="s">
        <v>448</v>
      </c>
      <c r="C46" s="66" t="s">
        <v>450</v>
      </c>
      <c r="D46" s="53"/>
      <c r="E46" s="53"/>
      <c r="F46" s="55"/>
      <c r="G46" s="55"/>
      <c r="H46" s="55"/>
      <c r="I46" s="59" t="str">
        <f t="shared" si="1"/>
        <v>—</v>
      </c>
      <c r="J46" s="55"/>
      <c r="K46" s="54"/>
    </row>
    <row r="47" ht="21.75" customHeight="1">
      <c r="A47" s="56">
        <v>45.0</v>
      </c>
      <c r="B47" s="57" t="s">
        <v>448</v>
      </c>
      <c r="C47" s="66" t="s">
        <v>451</v>
      </c>
      <c r="D47" s="53"/>
      <c r="E47" s="53"/>
      <c r="F47" s="55"/>
      <c r="G47" s="55"/>
      <c r="H47" s="55"/>
      <c r="I47" s="59" t="str">
        <f t="shared" si="1"/>
        <v>—</v>
      </c>
      <c r="J47" s="55"/>
      <c r="K47" s="54"/>
    </row>
    <row r="48" ht="21.75" customHeight="1">
      <c r="A48" s="56">
        <v>46.0</v>
      </c>
      <c r="B48" s="57" t="s">
        <v>448</v>
      </c>
      <c r="C48" s="66" t="s">
        <v>452</v>
      </c>
      <c r="D48" s="53"/>
      <c r="E48" s="53"/>
      <c r="F48" s="55"/>
      <c r="G48" s="55"/>
      <c r="H48" s="55"/>
      <c r="I48" s="59" t="str">
        <f t="shared" si="1"/>
        <v>—</v>
      </c>
      <c r="J48" s="55"/>
      <c r="K48" s="54"/>
    </row>
    <row r="49" ht="21.75" customHeight="1">
      <c r="A49" s="56">
        <v>47.0</v>
      </c>
      <c r="B49" s="57" t="s">
        <v>448</v>
      </c>
      <c r="C49" s="66" t="s">
        <v>453</v>
      </c>
      <c r="D49" s="53"/>
      <c r="E49" s="53"/>
      <c r="F49" s="55"/>
      <c r="G49" s="55"/>
      <c r="H49" s="55"/>
      <c r="I49" s="59" t="str">
        <f t="shared" si="1"/>
        <v>—</v>
      </c>
      <c r="J49" s="55"/>
      <c r="K49" s="54"/>
    </row>
    <row r="50" ht="21.75" customHeight="1">
      <c r="A50" s="56">
        <v>48.0</v>
      </c>
      <c r="B50" s="57" t="s">
        <v>448</v>
      </c>
      <c r="C50" s="66" t="s">
        <v>454</v>
      </c>
      <c r="D50" s="53"/>
      <c r="E50" s="53"/>
      <c r="F50" s="55"/>
      <c r="G50" s="55"/>
      <c r="H50" s="55"/>
      <c r="I50" s="59" t="str">
        <f t="shared" si="1"/>
        <v>—</v>
      </c>
      <c r="J50" s="55"/>
      <c r="K50" s="54"/>
    </row>
    <row r="51" ht="21.75" customHeight="1">
      <c r="A51" s="56">
        <v>49.0</v>
      </c>
      <c r="B51" s="57" t="s">
        <v>448</v>
      </c>
      <c r="C51" s="66" t="s">
        <v>455</v>
      </c>
      <c r="D51" s="53"/>
      <c r="E51" s="53"/>
      <c r="F51" s="55"/>
      <c r="G51" s="55"/>
      <c r="H51" s="55"/>
      <c r="I51" s="59" t="str">
        <f t="shared" si="1"/>
        <v>—</v>
      </c>
      <c r="J51" s="55"/>
      <c r="K51" s="54"/>
    </row>
    <row r="52" ht="21.75" customHeight="1">
      <c r="A52" s="56">
        <v>50.0</v>
      </c>
      <c r="B52" s="57" t="s">
        <v>448</v>
      </c>
      <c r="C52" s="66" t="s">
        <v>456</v>
      </c>
      <c r="D52" s="53"/>
      <c r="E52" s="53"/>
      <c r="F52" s="55"/>
      <c r="G52" s="55"/>
      <c r="H52" s="55"/>
      <c r="I52" s="59" t="str">
        <f t="shared" si="1"/>
        <v>—</v>
      </c>
      <c r="J52" s="55"/>
      <c r="K52" s="54"/>
    </row>
    <row r="53" ht="21.75" customHeight="1">
      <c r="A53" s="56">
        <v>51.0</v>
      </c>
      <c r="B53" s="57" t="s">
        <v>448</v>
      </c>
      <c r="C53" s="66" t="s">
        <v>457</v>
      </c>
      <c r="D53" s="53"/>
      <c r="E53" s="53"/>
      <c r="F53" s="55"/>
      <c r="G53" s="55"/>
      <c r="H53" s="55"/>
      <c r="I53" s="59" t="str">
        <f t="shared" si="1"/>
        <v>—</v>
      </c>
      <c r="J53" s="55"/>
      <c r="K53" s="54"/>
    </row>
    <row r="54" ht="21.75" customHeight="1">
      <c r="A54" s="56">
        <v>52.0</v>
      </c>
      <c r="B54" s="57" t="s">
        <v>448</v>
      </c>
      <c r="C54" s="66" t="s">
        <v>458</v>
      </c>
      <c r="D54" s="53"/>
      <c r="E54" s="53"/>
      <c r="F54" s="55"/>
      <c r="G54" s="55"/>
      <c r="H54" s="55"/>
      <c r="I54" s="59" t="str">
        <f t="shared" si="1"/>
        <v>—</v>
      </c>
      <c r="J54" s="55"/>
      <c r="K54" s="54"/>
    </row>
    <row r="55" ht="21.75" customHeight="1">
      <c r="A55" s="56">
        <v>53.0</v>
      </c>
      <c r="B55" s="57" t="s">
        <v>448</v>
      </c>
      <c r="C55" s="66" t="s">
        <v>459</v>
      </c>
      <c r="D55" s="53"/>
      <c r="E55" s="53"/>
      <c r="F55" s="55"/>
      <c r="G55" s="55"/>
      <c r="H55" s="55"/>
      <c r="I55" s="59" t="str">
        <f t="shared" si="1"/>
        <v>—</v>
      </c>
      <c r="J55" s="55"/>
      <c r="K55" s="54"/>
    </row>
    <row r="56" ht="21.75" customHeight="1">
      <c r="A56" s="56">
        <v>54.0</v>
      </c>
      <c r="B56" s="57" t="s">
        <v>448</v>
      </c>
      <c r="C56" s="66" t="s">
        <v>460</v>
      </c>
      <c r="D56" s="53"/>
      <c r="E56" s="53"/>
      <c r="F56" s="55"/>
      <c r="G56" s="55"/>
      <c r="H56" s="55"/>
      <c r="I56" s="59" t="str">
        <f t="shared" si="1"/>
        <v>—</v>
      </c>
      <c r="J56" s="55"/>
      <c r="K56" s="54"/>
    </row>
    <row r="57" ht="21.75" customHeight="1">
      <c r="A57" s="56">
        <v>55.0</v>
      </c>
      <c r="B57" s="57" t="s">
        <v>448</v>
      </c>
      <c r="C57" s="66" t="s">
        <v>461</v>
      </c>
      <c r="D57" s="53"/>
      <c r="E57" s="53"/>
      <c r="F57" s="55"/>
      <c r="G57" s="55"/>
      <c r="H57" s="55"/>
      <c r="I57" s="59" t="str">
        <f t="shared" si="1"/>
        <v>—</v>
      </c>
      <c r="J57" s="55"/>
      <c r="K57" s="54"/>
    </row>
    <row r="58" ht="21.75" customHeight="1">
      <c r="A58" s="56">
        <v>56.0</v>
      </c>
      <c r="B58" s="57" t="s">
        <v>448</v>
      </c>
      <c r="C58" s="66" t="s">
        <v>462</v>
      </c>
      <c r="D58" s="53"/>
      <c r="E58" s="53"/>
      <c r="F58" s="55"/>
      <c r="G58" s="55"/>
      <c r="H58" s="55"/>
      <c r="I58" s="59" t="str">
        <f t="shared" si="1"/>
        <v>—</v>
      </c>
      <c r="J58" s="55"/>
      <c r="K58" s="54"/>
    </row>
    <row r="59" ht="21.75" customHeight="1">
      <c r="A59" s="56">
        <v>57.0</v>
      </c>
      <c r="B59" s="57" t="s">
        <v>448</v>
      </c>
      <c r="C59" s="66" t="s">
        <v>463</v>
      </c>
      <c r="D59" s="53"/>
      <c r="E59" s="53"/>
      <c r="F59" s="55"/>
      <c r="G59" s="55"/>
      <c r="H59" s="55"/>
      <c r="I59" s="59" t="str">
        <f t="shared" si="1"/>
        <v>—</v>
      </c>
      <c r="J59" s="55"/>
      <c r="K59" s="54"/>
    </row>
    <row r="60" ht="21.75" customHeight="1">
      <c r="A60" s="56">
        <v>58.0</v>
      </c>
      <c r="B60" s="57" t="s">
        <v>448</v>
      </c>
      <c r="C60" s="66" t="s">
        <v>464</v>
      </c>
      <c r="D60" s="53"/>
      <c r="E60" s="53"/>
      <c r="F60" s="55"/>
      <c r="G60" s="55"/>
      <c r="H60" s="55"/>
      <c r="I60" s="59" t="str">
        <f t="shared" si="1"/>
        <v>—</v>
      </c>
      <c r="J60" s="55"/>
      <c r="K60" s="54"/>
    </row>
    <row r="61" ht="21.75" customHeight="1">
      <c r="A61" s="56">
        <v>59.0</v>
      </c>
      <c r="B61" s="57" t="s">
        <v>448</v>
      </c>
      <c r="C61" s="66" t="s">
        <v>465</v>
      </c>
      <c r="D61" s="53"/>
      <c r="E61" s="53"/>
      <c r="F61" s="55"/>
      <c r="G61" s="55"/>
      <c r="H61" s="55"/>
      <c r="I61" s="59" t="str">
        <f t="shared" si="1"/>
        <v>—</v>
      </c>
      <c r="J61" s="55"/>
      <c r="K61" s="54"/>
    </row>
    <row r="62" ht="21.75" customHeight="1">
      <c r="A62" s="56">
        <v>60.0</v>
      </c>
      <c r="B62" s="57" t="s">
        <v>448</v>
      </c>
      <c r="C62" s="66" t="s">
        <v>466</v>
      </c>
      <c r="D62" s="53"/>
      <c r="E62" s="53"/>
      <c r="F62" s="55"/>
      <c r="G62" s="55"/>
      <c r="H62" s="55"/>
      <c r="I62" s="59" t="str">
        <f t="shared" si="1"/>
        <v>—</v>
      </c>
      <c r="J62" s="55"/>
      <c r="K62" s="54"/>
    </row>
    <row r="63" ht="21.75" customHeight="1">
      <c r="A63" s="56">
        <v>61.0</v>
      </c>
      <c r="B63" s="65" t="s">
        <v>467</v>
      </c>
      <c r="C63" s="66" t="s">
        <v>468</v>
      </c>
      <c r="D63" s="53"/>
      <c r="E63" s="53"/>
      <c r="F63" s="55"/>
      <c r="G63" s="55"/>
      <c r="H63" s="55"/>
      <c r="I63" s="59" t="str">
        <f t="shared" si="1"/>
        <v>—</v>
      </c>
      <c r="J63" s="55"/>
      <c r="K63" s="54"/>
    </row>
    <row r="64" ht="21.75" customHeight="1">
      <c r="A64" s="56">
        <v>62.0</v>
      </c>
      <c r="B64" s="65" t="s">
        <v>467</v>
      </c>
      <c r="C64" s="66" t="s">
        <v>469</v>
      </c>
      <c r="D64" s="53"/>
      <c r="E64" s="53"/>
      <c r="F64" s="55"/>
      <c r="G64" s="55"/>
      <c r="H64" s="55"/>
      <c r="I64" s="59" t="str">
        <f t="shared" si="1"/>
        <v>—</v>
      </c>
      <c r="J64" s="55"/>
      <c r="K64" s="54"/>
    </row>
    <row r="65" ht="21.75" customHeight="1">
      <c r="A65" s="56">
        <v>63.0</v>
      </c>
      <c r="B65" s="65" t="s">
        <v>467</v>
      </c>
      <c r="C65" s="66" t="s">
        <v>470</v>
      </c>
      <c r="D65" s="53"/>
      <c r="E65" s="53"/>
      <c r="F65" s="55"/>
      <c r="G65" s="55"/>
      <c r="H65" s="55"/>
      <c r="I65" s="59" t="str">
        <f t="shared" si="1"/>
        <v>—</v>
      </c>
      <c r="J65" s="55"/>
      <c r="K65" s="54"/>
    </row>
    <row r="66" ht="21.75" customHeight="1">
      <c r="A66" s="56">
        <v>64.0</v>
      </c>
      <c r="B66" s="65" t="s">
        <v>467</v>
      </c>
      <c r="C66" s="66" t="s">
        <v>471</v>
      </c>
      <c r="D66" s="53"/>
      <c r="E66" s="53"/>
      <c r="F66" s="55"/>
      <c r="G66" s="55"/>
      <c r="H66" s="55"/>
      <c r="I66" s="59" t="str">
        <f t="shared" si="1"/>
        <v>—</v>
      </c>
      <c r="J66" s="55"/>
      <c r="K66" s="54"/>
    </row>
    <row r="67" ht="21.75" customHeight="1">
      <c r="A67" s="56">
        <v>65.0</v>
      </c>
      <c r="B67" s="65" t="s">
        <v>467</v>
      </c>
      <c r="C67" s="66" t="s">
        <v>472</v>
      </c>
      <c r="D67" s="53"/>
      <c r="E67" s="53"/>
      <c r="F67" s="55"/>
      <c r="G67" s="55"/>
      <c r="H67" s="55"/>
      <c r="I67" s="59" t="str">
        <f t="shared" si="1"/>
        <v>—</v>
      </c>
      <c r="J67" s="55"/>
      <c r="K67" s="54"/>
    </row>
    <row r="68" ht="21.75" customHeight="1">
      <c r="A68" s="56">
        <v>66.0</v>
      </c>
      <c r="B68" s="65" t="s">
        <v>467</v>
      </c>
      <c r="C68" s="66" t="s">
        <v>473</v>
      </c>
      <c r="D68" s="53"/>
      <c r="E68" s="53"/>
      <c r="F68" s="55"/>
      <c r="G68" s="55"/>
      <c r="H68" s="55"/>
      <c r="I68" s="59" t="str">
        <f t="shared" si="1"/>
        <v>—</v>
      </c>
      <c r="J68" s="55"/>
      <c r="K68" s="54"/>
    </row>
    <row r="69" ht="21.75" customHeight="1">
      <c r="A69" s="56">
        <v>67.0</v>
      </c>
      <c r="B69" s="65" t="s">
        <v>467</v>
      </c>
      <c r="C69" s="66" t="s">
        <v>474</v>
      </c>
      <c r="D69" s="53"/>
      <c r="E69" s="53"/>
      <c r="F69" s="55"/>
      <c r="G69" s="55"/>
      <c r="H69" s="55"/>
      <c r="I69" s="59" t="str">
        <f t="shared" si="1"/>
        <v>—</v>
      </c>
      <c r="J69" s="55"/>
      <c r="K69" s="54"/>
    </row>
    <row r="70" ht="21.75" customHeight="1">
      <c r="A70" s="56">
        <v>68.0</v>
      </c>
      <c r="B70" s="65" t="s">
        <v>467</v>
      </c>
      <c r="C70" s="66" t="s">
        <v>475</v>
      </c>
      <c r="D70" s="53"/>
      <c r="E70" s="53"/>
      <c r="F70" s="55"/>
      <c r="G70" s="55"/>
      <c r="H70" s="55"/>
      <c r="I70" s="59" t="str">
        <f t="shared" si="1"/>
        <v>—</v>
      </c>
      <c r="J70" s="55"/>
      <c r="K70" s="54"/>
    </row>
    <row r="71" ht="21.75" customHeight="1">
      <c r="A71" s="56">
        <v>69.0</v>
      </c>
      <c r="B71" s="65" t="s">
        <v>467</v>
      </c>
      <c r="C71" s="66" t="s">
        <v>476</v>
      </c>
      <c r="D71" s="53"/>
      <c r="E71" s="53"/>
      <c r="F71" s="55"/>
      <c r="G71" s="55"/>
      <c r="H71" s="55"/>
      <c r="I71" s="59" t="str">
        <f t="shared" si="1"/>
        <v>—</v>
      </c>
      <c r="J71" s="55"/>
      <c r="K71" s="54"/>
    </row>
    <row r="72" ht="21.75" customHeight="1">
      <c r="A72" s="56">
        <v>70.0</v>
      </c>
      <c r="B72" s="65" t="s">
        <v>467</v>
      </c>
      <c r="C72" s="66" t="s">
        <v>477</v>
      </c>
      <c r="D72" s="53"/>
      <c r="E72" s="53"/>
      <c r="F72" s="55"/>
      <c r="G72" s="55"/>
      <c r="H72" s="55"/>
      <c r="I72" s="59" t="str">
        <f t="shared" si="1"/>
        <v>—</v>
      </c>
      <c r="J72" s="55"/>
      <c r="K72" s="54"/>
    </row>
    <row r="73" ht="21.75" customHeight="1">
      <c r="A73" s="56">
        <v>71.0</v>
      </c>
      <c r="B73" s="65" t="s">
        <v>467</v>
      </c>
      <c r="C73" s="66" t="s">
        <v>478</v>
      </c>
      <c r="D73" s="53"/>
      <c r="E73" s="53"/>
      <c r="F73" s="55"/>
      <c r="G73" s="55"/>
      <c r="H73" s="55"/>
      <c r="I73" s="59" t="str">
        <f t="shared" si="1"/>
        <v>—</v>
      </c>
      <c r="J73" s="55"/>
      <c r="K73" s="54"/>
    </row>
    <row r="74" ht="21.75" customHeight="1">
      <c r="A74" s="56">
        <v>72.0</v>
      </c>
      <c r="B74" s="65" t="s">
        <v>467</v>
      </c>
      <c r="C74" s="66" t="s">
        <v>479</v>
      </c>
      <c r="D74" s="53"/>
      <c r="E74" s="53"/>
      <c r="F74" s="55"/>
      <c r="G74" s="55"/>
      <c r="H74" s="55"/>
      <c r="I74" s="59" t="str">
        <f t="shared" si="1"/>
        <v>—</v>
      </c>
      <c r="J74" s="55"/>
      <c r="K74" s="54"/>
    </row>
    <row r="75" ht="21.75" customHeight="1">
      <c r="A75" s="56">
        <v>73.0</v>
      </c>
      <c r="B75" s="65" t="s">
        <v>467</v>
      </c>
      <c r="C75" s="66" t="s">
        <v>480</v>
      </c>
      <c r="D75" s="53"/>
      <c r="E75" s="53"/>
      <c r="F75" s="55"/>
      <c r="G75" s="55"/>
      <c r="H75" s="55"/>
      <c r="I75" s="59" t="str">
        <f t="shared" si="1"/>
        <v>—</v>
      </c>
      <c r="J75" s="55"/>
      <c r="K75" s="54"/>
    </row>
    <row r="76" ht="21.75" customHeight="1">
      <c r="A76" s="56">
        <v>74.0</v>
      </c>
      <c r="B76" s="65" t="s">
        <v>467</v>
      </c>
      <c r="C76" s="66" t="s">
        <v>481</v>
      </c>
      <c r="D76" s="53"/>
      <c r="E76" s="53"/>
      <c r="F76" s="55"/>
      <c r="G76" s="55"/>
      <c r="H76" s="55"/>
      <c r="I76" s="59" t="str">
        <f t="shared" si="1"/>
        <v>—</v>
      </c>
      <c r="J76" s="55"/>
      <c r="K76" s="54"/>
    </row>
    <row r="77" ht="21.75" customHeight="1">
      <c r="A77" s="56">
        <v>75.0</v>
      </c>
      <c r="B77" s="65" t="s">
        <v>467</v>
      </c>
      <c r="C77" s="66" t="s">
        <v>482</v>
      </c>
      <c r="D77" s="53"/>
      <c r="E77" s="53"/>
      <c r="F77" s="55"/>
      <c r="G77" s="55"/>
      <c r="H77" s="55"/>
      <c r="I77" s="59" t="str">
        <f t="shared" si="1"/>
        <v>—</v>
      </c>
      <c r="J77" s="55"/>
      <c r="K77" s="54"/>
    </row>
    <row r="78" ht="21.75" customHeight="1">
      <c r="A78" s="56">
        <v>76.0</v>
      </c>
      <c r="B78" s="65" t="s">
        <v>467</v>
      </c>
      <c r="C78" s="66" t="s">
        <v>483</v>
      </c>
      <c r="D78" s="53"/>
      <c r="E78" s="53"/>
      <c r="F78" s="55"/>
      <c r="G78" s="55"/>
      <c r="H78" s="55"/>
      <c r="I78" s="59" t="str">
        <f t="shared" si="1"/>
        <v>—</v>
      </c>
      <c r="J78" s="55"/>
      <c r="K78" s="54"/>
    </row>
    <row r="79" ht="21.75" customHeight="1">
      <c r="A79" s="56">
        <v>77.0</v>
      </c>
      <c r="B79" s="65" t="s">
        <v>467</v>
      </c>
      <c r="C79" s="66" t="s">
        <v>484</v>
      </c>
      <c r="D79" s="53"/>
      <c r="E79" s="53"/>
      <c r="F79" s="55"/>
      <c r="G79" s="55"/>
      <c r="H79" s="55"/>
      <c r="I79" s="59" t="str">
        <f t="shared" si="1"/>
        <v>—</v>
      </c>
      <c r="J79" s="55"/>
      <c r="K79" s="54"/>
    </row>
    <row r="80" ht="21.75" customHeight="1">
      <c r="A80" s="56">
        <v>78.0</v>
      </c>
      <c r="B80" s="65" t="s">
        <v>467</v>
      </c>
      <c r="C80" s="66" t="s">
        <v>485</v>
      </c>
      <c r="D80" s="53"/>
      <c r="E80" s="53"/>
      <c r="F80" s="55"/>
      <c r="G80" s="55"/>
      <c r="H80" s="55"/>
      <c r="I80" s="59" t="str">
        <f t="shared" si="1"/>
        <v>—</v>
      </c>
      <c r="J80" s="55"/>
      <c r="K80" s="54"/>
    </row>
    <row r="81" ht="21.75" customHeight="1">
      <c r="A81" s="56">
        <v>79.0</v>
      </c>
      <c r="B81" s="65" t="s">
        <v>467</v>
      </c>
      <c r="C81" s="66" t="s">
        <v>486</v>
      </c>
      <c r="D81" s="53"/>
      <c r="E81" s="53"/>
      <c r="F81" s="55"/>
      <c r="G81" s="55"/>
      <c r="H81" s="55"/>
      <c r="I81" s="59" t="str">
        <f t="shared" si="1"/>
        <v>—</v>
      </c>
      <c r="J81" s="55"/>
      <c r="K81" s="54"/>
    </row>
    <row r="82" ht="21.75" customHeight="1">
      <c r="A82" s="56">
        <v>80.0</v>
      </c>
      <c r="B82" s="65" t="s">
        <v>467</v>
      </c>
      <c r="C82" s="66" t="s">
        <v>487</v>
      </c>
      <c r="D82" s="53"/>
      <c r="E82" s="53"/>
      <c r="F82" s="55"/>
      <c r="G82" s="55"/>
      <c r="H82" s="55"/>
      <c r="I82" s="59" t="str">
        <f t="shared" si="1"/>
        <v>—</v>
      </c>
      <c r="J82" s="55"/>
      <c r="K82" s="54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autoFilter ref="$A$2:$K$82"/>
  <conditionalFormatting sqref="I3:I82">
    <cfRule type="cellIs" dxfId="3" priority="1" operator="equal">
      <formula>"بسته"</formula>
    </cfRule>
  </conditionalFormatting>
  <conditionalFormatting sqref="I3:I82">
    <cfRule type="cellIs" dxfId="7" priority="2" operator="equal">
      <formula>"ناقص"</formula>
    </cfRule>
  </conditionalFormatting>
  <dataValidations>
    <dataValidation type="decimal" allowBlank="1" sqref="F3:H82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4.43" defaultRowHeight="15.0"/>
  <cols>
    <col customWidth="1" min="1" max="1" width="6.0"/>
    <col customWidth="1" min="2" max="2" width="42.0"/>
    <col customWidth="1" min="3" max="4" width="13.0"/>
    <col customWidth="1" min="5" max="5" width="30.0"/>
    <col customWidth="1" min="6" max="26" width="8.71"/>
  </cols>
  <sheetData>
    <row r="1" ht="17.25" customHeight="1">
      <c r="A1" s="67" t="s">
        <v>426</v>
      </c>
      <c r="B1" s="1"/>
      <c r="C1" s="1"/>
      <c r="D1" s="1"/>
      <c r="E1" s="1"/>
    </row>
    <row r="2" ht="24.0" customHeight="1">
      <c r="A2" s="4" t="s">
        <v>20</v>
      </c>
      <c r="B2" s="4" t="s">
        <v>428</v>
      </c>
      <c r="C2" s="4" t="s">
        <v>9</v>
      </c>
      <c r="D2" s="4" t="s">
        <v>10</v>
      </c>
      <c r="E2" s="4" t="s">
        <v>429</v>
      </c>
    </row>
    <row r="3" ht="27.75" customHeight="1">
      <c r="A3" s="68">
        <v>1.0</v>
      </c>
      <c r="B3" s="69" t="s">
        <v>431</v>
      </c>
      <c r="C3" s="70">
        <v>46271.0</v>
      </c>
      <c r="D3" s="70">
        <v>46312.0</v>
      </c>
      <c r="E3" s="69" t="s">
        <v>433</v>
      </c>
    </row>
    <row r="4" ht="27.75" customHeight="1">
      <c r="A4" s="71">
        <v>2.0</v>
      </c>
      <c r="B4" s="72" t="s">
        <v>435</v>
      </c>
      <c r="C4" s="73">
        <v>46313.0</v>
      </c>
      <c r="D4" s="73">
        <v>46361.0</v>
      </c>
      <c r="E4" s="74" t="s">
        <v>437</v>
      </c>
    </row>
    <row r="5" ht="27.75" customHeight="1">
      <c r="A5" s="68">
        <v>3.0</v>
      </c>
      <c r="B5" s="69" t="s">
        <v>439</v>
      </c>
      <c r="C5" s="70">
        <v>46362.0</v>
      </c>
      <c r="D5" s="70">
        <v>46410.0</v>
      </c>
      <c r="E5" s="69" t="s">
        <v>440</v>
      </c>
    </row>
    <row r="6" ht="27.75" customHeight="1">
      <c r="A6" s="71">
        <v>4.0</v>
      </c>
      <c r="B6" s="74" t="s">
        <v>441</v>
      </c>
      <c r="C6" s="73">
        <v>46411.0</v>
      </c>
      <c r="D6" s="73">
        <v>46445.0</v>
      </c>
      <c r="E6" s="74" t="s">
        <v>442</v>
      </c>
    </row>
    <row r="7" ht="27.75" customHeight="1">
      <c r="A7" s="68">
        <v>5.0</v>
      </c>
      <c r="B7" s="69" t="s">
        <v>444</v>
      </c>
      <c r="C7" s="70">
        <v>46446.0</v>
      </c>
      <c r="D7" s="70">
        <v>46466.0</v>
      </c>
      <c r="E7" s="69" t="s">
        <v>445</v>
      </c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7" width="15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17.25" customHeight="1">
      <c r="A2" s="1"/>
      <c r="B2" s="67" t="s">
        <v>488</v>
      </c>
      <c r="C2" s="1"/>
      <c r="D2" s="1"/>
      <c r="E2" s="1"/>
      <c r="F2" s="1"/>
      <c r="G2" s="1"/>
    </row>
    <row r="3" ht="15.0" customHeight="1">
      <c r="A3" s="1"/>
      <c r="B3" s="2" t="s">
        <v>489</v>
      </c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36.0" customHeight="1">
      <c r="A5" s="1"/>
      <c r="B5" s="4" t="s">
        <v>132</v>
      </c>
      <c r="C5" s="4" t="s">
        <v>490</v>
      </c>
      <c r="D5" s="4" t="s">
        <v>491</v>
      </c>
      <c r="E5" s="4" t="s">
        <v>492</v>
      </c>
      <c r="F5" s="4" t="s">
        <v>493</v>
      </c>
      <c r="G5" s="4" t="s">
        <v>494</v>
      </c>
    </row>
    <row r="6" ht="21.0" customHeight="1">
      <c r="A6" s="1"/>
      <c r="B6" s="75" t="s">
        <v>495</v>
      </c>
      <c r="C6" s="76">
        <v>90.0</v>
      </c>
      <c r="D6" s="76">
        <v>75.0</v>
      </c>
      <c r="E6" s="76">
        <v>65.0</v>
      </c>
      <c r="F6" s="77">
        <v>30.0</v>
      </c>
      <c r="G6" s="77" t="s">
        <v>496</v>
      </c>
    </row>
    <row r="7" ht="21.0" customHeight="1">
      <c r="A7" s="1"/>
      <c r="B7" s="75" t="s">
        <v>497</v>
      </c>
      <c r="C7" s="77">
        <v>30.0</v>
      </c>
      <c r="D7" s="77">
        <v>30.0</v>
      </c>
      <c r="E7" s="77">
        <v>40.0</v>
      </c>
      <c r="F7" s="77">
        <v>45.0</v>
      </c>
      <c r="G7" s="77">
        <v>45.0</v>
      </c>
    </row>
    <row r="8" ht="21.0" customHeight="1">
      <c r="A8" s="1"/>
      <c r="B8" s="78" t="s">
        <v>498</v>
      </c>
      <c r="C8" s="77">
        <v>30.0</v>
      </c>
      <c r="D8" s="77">
        <v>40.0</v>
      </c>
      <c r="E8" s="77">
        <v>35.0</v>
      </c>
      <c r="F8" s="77">
        <v>35.0</v>
      </c>
      <c r="G8" s="77">
        <v>15.0</v>
      </c>
    </row>
    <row r="9" ht="21.0" customHeight="1">
      <c r="A9" s="1"/>
      <c r="B9" s="78" t="s">
        <v>499</v>
      </c>
      <c r="C9" s="77">
        <v>15.0</v>
      </c>
      <c r="D9" s="77">
        <v>35.0</v>
      </c>
      <c r="E9" s="77">
        <v>40.0</v>
      </c>
      <c r="F9" s="77">
        <v>40.0</v>
      </c>
      <c r="G9" s="77">
        <v>15.0</v>
      </c>
    </row>
    <row r="10" ht="21.0" customHeight="1">
      <c r="A10" s="1"/>
      <c r="B10" s="78" t="s">
        <v>500</v>
      </c>
      <c r="C10" s="77">
        <v>15.0</v>
      </c>
      <c r="D10" s="77">
        <v>25.0</v>
      </c>
      <c r="E10" s="77">
        <v>30.0</v>
      </c>
      <c r="F10" s="77">
        <v>45.0</v>
      </c>
      <c r="G10" s="77">
        <v>35.0</v>
      </c>
    </row>
    <row r="11" ht="21.0" customHeight="1">
      <c r="A11" s="1"/>
      <c r="B11" s="78" t="s">
        <v>501</v>
      </c>
      <c r="C11" s="76">
        <v>60.0</v>
      </c>
      <c r="D11" s="77">
        <v>35.0</v>
      </c>
      <c r="E11" s="77">
        <v>30.0</v>
      </c>
      <c r="F11" s="77">
        <v>45.0</v>
      </c>
      <c r="G11" s="77">
        <v>40.0</v>
      </c>
    </row>
    <row r="12" ht="21.0" customHeight="1">
      <c r="A12" s="1"/>
      <c r="B12" s="75" t="s">
        <v>502</v>
      </c>
      <c r="C12" s="77" t="s">
        <v>496</v>
      </c>
      <c r="D12" s="77" t="s">
        <v>496</v>
      </c>
      <c r="E12" s="77" t="s">
        <v>496</v>
      </c>
      <c r="F12" s="77" t="s">
        <v>496</v>
      </c>
      <c r="G12" s="76">
        <v>90.0</v>
      </c>
    </row>
    <row r="13" ht="21.0" customHeight="1">
      <c r="A13" s="1"/>
      <c r="B13" s="75" t="s">
        <v>503</v>
      </c>
      <c r="C13" s="77">
        <v>15.0</v>
      </c>
      <c r="D13" s="77">
        <v>15.0</v>
      </c>
      <c r="E13" s="77">
        <v>15.0</v>
      </c>
      <c r="F13" s="77">
        <v>15.0</v>
      </c>
      <c r="G13" s="77">
        <v>15.0</v>
      </c>
    </row>
    <row r="14" ht="21.75" customHeight="1">
      <c r="A14" s="1"/>
      <c r="B14" s="79" t="s">
        <v>504</v>
      </c>
      <c r="C14" s="80">
        <f t="shared" ref="C14:G14" si="1">SUM(C6:C13)</f>
        <v>255</v>
      </c>
      <c r="D14" s="80">
        <f t="shared" si="1"/>
        <v>255</v>
      </c>
      <c r="E14" s="80">
        <f t="shared" si="1"/>
        <v>255</v>
      </c>
      <c r="F14" s="80">
        <f t="shared" si="1"/>
        <v>255</v>
      </c>
      <c r="G14" s="80">
        <f t="shared" si="1"/>
        <v>255</v>
      </c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80.0"/>
    <col customWidth="1" min="4" max="26" width="8.71"/>
  </cols>
  <sheetData>
    <row r="1">
      <c r="A1" s="1"/>
      <c r="B1" s="1"/>
      <c r="C1" s="1"/>
    </row>
    <row r="2" ht="17.25" customHeight="1">
      <c r="A2" s="1"/>
      <c r="B2" s="67" t="s">
        <v>505</v>
      </c>
      <c r="C2" s="1"/>
    </row>
    <row r="3">
      <c r="A3" s="1"/>
      <c r="B3" s="1"/>
      <c r="C3" s="1"/>
    </row>
    <row r="4" ht="24.0" customHeight="1">
      <c r="A4" s="1"/>
      <c r="B4" s="81" t="s">
        <v>506</v>
      </c>
      <c r="C4" s="6"/>
    </row>
    <row r="5" ht="30.0" customHeight="1">
      <c r="A5" s="1"/>
      <c r="B5" s="82" t="s">
        <v>507</v>
      </c>
      <c r="C5" s="83" t="s">
        <v>508</v>
      </c>
    </row>
    <row r="6" ht="18.0" customHeight="1">
      <c r="A6" s="1"/>
      <c r="B6" s="82" t="s">
        <v>509</v>
      </c>
      <c r="C6" s="83" t="s">
        <v>510</v>
      </c>
    </row>
    <row r="7" ht="18.0" customHeight="1">
      <c r="A7" s="1"/>
      <c r="B7" s="82" t="s">
        <v>511</v>
      </c>
      <c r="C7" s="83" t="s">
        <v>512</v>
      </c>
    </row>
    <row r="8" ht="18.0" customHeight="1">
      <c r="A8" s="1"/>
      <c r="B8" s="82" t="s">
        <v>513</v>
      </c>
      <c r="C8" s="84" t="s">
        <v>514</v>
      </c>
    </row>
    <row r="9" ht="18.0" customHeight="1">
      <c r="A9" s="1"/>
      <c r="B9" s="82" t="s">
        <v>515</v>
      </c>
      <c r="C9" s="83" t="s">
        <v>516</v>
      </c>
    </row>
    <row r="10">
      <c r="A10" s="1"/>
      <c r="B10" s="1"/>
      <c r="C10" s="1"/>
    </row>
    <row r="11" ht="24.0" customHeight="1">
      <c r="A11" s="1"/>
      <c r="B11" s="81" t="s">
        <v>517</v>
      </c>
      <c r="C11" s="6"/>
    </row>
    <row r="12" ht="18.0" customHeight="1">
      <c r="A12" s="1"/>
      <c r="B12" s="82" t="s">
        <v>518</v>
      </c>
      <c r="C12" s="83" t="s">
        <v>519</v>
      </c>
    </row>
    <row r="13" ht="18.0" customHeight="1">
      <c r="A13" s="1"/>
      <c r="B13" s="82" t="s">
        <v>520</v>
      </c>
      <c r="C13" s="83" t="s">
        <v>521</v>
      </c>
    </row>
    <row r="14" ht="18.0" customHeight="1">
      <c r="A14" s="1"/>
      <c r="B14" s="82" t="s">
        <v>522</v>
      </c>
      <c r="C14" s="83" t="s">
        <v>523</v>
      </c>
    </row>
    <row r="15" ht="30.0" customHeight="1">
      <c r="A15" s="1"/>
      <c r="B15" s="82" t="s">
        <v>524</v>
      </c>
      <c r="C15" s="83" t="s">
        <v>525</v>
      </c>
    </row>
    <row r="16">
      <c r="A16" s="1"/>
      <c r="B16" s="1"/>
      <c r="C16" s="1"/>
    </row>
    <row r="17" ht="24.0" customHeight="1">
      <c r="A17" s="1"/>
      <c r="B17" s="81" t="s">
        <v>526</v>
      </c>
      <c r="C17" s="6"/>
    </row>
    <row r="18" ht="18.0" customHeight="1">
      <c r="A18" s="1"/>
      <c r="B18" s="85" t="s">
        <v>527</v>
      </c>
    </row>
    <row r="19" ht="18.0" customHeight="1">
      <c r="A19" s="1"/>
      <c r="B19" s="82" t="s">
        <v>528</v>
      </c>
      <c r="C19" s="83" t="s">
        <v>529</v>
      </c>
    </row>
    <row r="20" ht="18.0" customHeight="1">
      <c r="A20" s="1"/>
      <c r="B20" s="82" t="s">
        <v>530</v>
      </c>
      <c r="C20" s="83" t="s">
        <v>531</v>
      </c>
    </row>
    <row r="21" ht="18.0" customHeight="1">
      <c r="A21" s="1"/>
      <c r="B21" s="82" t="s">
        <v>532</v>
      </c>
      <c r="C21" s="83" t="s">
        <v>533</v>
      </c>
    </row>
    <row r="22" ht="18.0" customHeight="1">
      <c r="A22" s="1"/>
      <c r="B22" s="82" t="s">
        <v>534</v>
      </c>
      <c r="C22" s="83" t="s">
        <v>535</v>
      </c>
    </row>
    <row r="23" ht="18.0" customHeight="1">
      <c r="A23" s="1"/>
      <c r="B23" s="82" t="s">
        <v>536</v>
      </c>
      <c r="C23" s="83" t="s">
        <v>537</v>
      </c>
    </row>
    <row r="24" ht="18.0" customHeight="1">
      <c r="A24" s="1"/>
      <c r="B24" s="82" t="s">
        <v>538</v>
      </c>
      <c r="C24" s="83" t="s">
        <v>539</v>
      </c>
    </row>
    <row r="25" ht="30.0" customHeight="1">
      <c r="A25" s="1"/>
      <c r="B25" s="82" t="s">
        <v>540</v>
      </c>
      <c r="C25" s="83" t="s">
        <v>541</v>
      </c>
    </row>
    <row r="26" ht="45.0" customHeight="1">
      <c r="A26" s="1"/>
      <c r="B26" s="82" t="s">
        <v>542</v>
      </c>
      <c r="C26" s="83" t="s">
        <v>543</v>
      </c>
    </row>
    <row r="27" ht="15.75" customHeight="1">
      <c r="A27" s="1"/>
      <c r="B27" s="1"/>
      <c r="C27" s="1"/>
    </row>
    <row r="28" ht="24.0" customHeight="1">
      <c r="A28" s="1"/>
      <c r="B28" s="81" t="s">
        <v>544</v>
      </c>
      <c r="C28" s="6"/>
    </row>
    <row r="29" ht="18.0" customHeight="1">
      <c r="A29" s="1"/>
      <c r="B29" s="82" t="s">
        <v>545</v>
      </c>
      <c r="C29" s="83" t="s">
        <v>546</v>
      </c>
    </row>
    <row r="30" ht="18.0" customHeight="1">
      <c r="A30" s="1"/>
      <c r="B30" s="82" t="s">
        <v>547</v>
      </c>
      <c r="C30" s="83" t="s">
        <v>548</v>
      </c>
    </row>
    <row r="31" ht="18.0" customHeight="1">
      <c r="A31" s="1"/>
      <c r="B31" s="82" t="s">
        <v>549</v>
      </c>
      <c r="C31" s="83" t="s">
        <v>550</v>
      </c>
    </row>
    <row r="32" ht="15.75" customHeight="1">
      <c r="A32" s="1"/>
      <c r="B32" s="1"/>
      <c r="C32" s="1"/>
    </row>
    <row r="33" ht="24.0" customHeight="1">
      <c r="A33" s="1"/>
      <c r="B33" s="81" t="s">
        <v>551</v>
      </c>
      <c r="C33" s="6"/>
    </row>
    <row r="34" ht="45.0" customHeight="1">
      <c r="A34" s="1"/>
      <c r="B34" s="82" t="s">
        <v>552</v>
      </c>
      <c r="C34" s="83" t="s">
        <v>553</v>
      </c>
    </row>
    <row r="35" ht="18.0" customHeight="1">
      <c r="A35" s="1"/>
      <c r="B35" s="82" t="s">
        <v>554</v>
      </c>
      <c r="C35" s="83" t="s">
        <v>555</v>
      </c>
    </row>
    <row r="36" ht="30.0" customHeight="1">
      <c r="A36" s="1"/>
      <c r="B36" s="82" t="s">
        <v>556</v>
      </c>
      <c r="C36" s="83" t="s">
        <v>557</v>
      </c>
    </row>
    <row r="37" ht="15.75" customHeight="1">
      <c r="A37" s="1"/>
      <c r="B37" s="1"/>
      <c r="C37" s="1"/>
    </row>
    <row r="38" ht="24.0" customHeight="1">
      <c r="A38" s="1"/>
      <c r="B38" s="81" t="s">
        <v>27</v>
      </c>
      <c r="C38" s="6"/>
    </row>
    <row r="39" ht="30.0" customHeight="1">
      <c r="A39" s="1"/>
      <c r="B39" s="82" t="s">
        <v>558</v>
      </c>
      <c r="C39" s="83" t="s">
        <v>559</v>
      </c>
    </row>
    <row r="40" ht="30.0" customHeight="1">
      <c r="A40" s="1"/>
      <c r="B40" s="82" t="s">
        <v>560</v>
      </c>
      <c r="C40" s="83" t="s">
        <v>561</v>
      </c>
    </row>
    <row r="41" ht="18.0" customHeight="1">
      <c r="A41" s="1"/>
      <c r="B41" s="82" t="s">
        <v>562</v>
      </c>
      <c r="C41" s="83" t="s">
        <v>563</v>
      </c>
    </row>
    <row r="42" ht="30.0" customHeight="1">
      <c r="A42" s="1"/>
      <c r="B42" s="82" t="s">
        <v>564</v>
      </c>
      <c r="C42" s="83" t="s">
        <v>565</v>
      </c>
    </row>
    <row r="43" ht="15.75" customHeight="1">
      <c r="A43" s="1"/>
      <c r="B43" s="1"/>
      <c r="C43" s="1"/>
    </row>
    <row r="44" ht="24.0" customHeight="1">
      <c r="A44" s="1"/>
      <c r="B44" s="81" t="s">
        <v>566</v>
      </c>
      <c r="C44" s="6"/>
    </row>
    <row r="45" ht="18.0" customHeight="1">
      <c r="A45" s="1"/>
      <c r="B45" s="82" t="s">
        <v>567</v>
      </c>
      <c r="C45" s="83" t="s">
        <v>568</v>
      </c>
    </row>
    <row r="46" ht="18.0" customHeight="1">
      <c r="A46" s="1"/>
      <c r="B46" s="82" t="s">
        <v>569</v>
      </c>
      <c r="C46" s="83" t="s">
        <v>570</v>
      </c>
    </row>
    <row r="47" ht="18.0" customHeight="1">
      <c r="A47" s="1"/>
      <c r="B47" s="82" t="s">
        <v>571</v>
      </c>
      <c r="C47" s="83" t="s">
        <v>572</v>
      </c>
    </row>
    <row r="48" ht="18.0" customHeight="1">
      <c r="A48" s="1"/>
      <c r="B48" s="82" t="s">
        <v>573</v>
      </c>
      <c r="C48" s="83" t="s">
        <v>574</v>
      </c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1">
    <mergeCell ref="B18:C18"/>
  </mergeCells>
  <printOptions/>
  <pageMargins bottom="1.0" footer="0.0" header="0.0" left="0.75" right="0.75" top="1.0"/>
  <pageSetup paperSize="9" orientation="portrait"/>
  <drawing r:id="rId1"/>
</worksheet>
</file>